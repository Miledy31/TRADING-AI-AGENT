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canner" sheetId="2" state="visible" r:id="rId2"/>
    <sheet name="Trade Journal" sheetId="3" state="visible" r:id="rId3"/>
    <sheet name="Performance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Paper Account Equity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'Performance'!$A$2:$A$61</f>
            </numRef>
          </cat>
          <val>
            <numRef>
              <f>'Performance'!$C$2:$C$61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iveScanner" displayName="LiveScanner" ref="A16:M25" headerRowCount="1">
  <autoFilter ref="A16:M25"/>
  <tableColumns count="13">
    <tableColumn id="1" name="Ticker"/>
    <tableColumn id="2" name="Class"/>
    <tableColumn id="3" name="Mode"/>
    <tableColumn id="4" name="Price"/>
    <tableColumn id="5" name="Change %"/>
    <tableColumn id="6" name="RSI"/>
    <tableColumn id="7" name="SMA20"/>
    <tableColumn id="8" name="SMA50"/>
    <tableColumn id="9" name="Volume"/>
    <tableColumn id="10" name="Signal"/>
    <tableColumn id="11" name="Confidence"/>
    <tableColumn id="12" name="Status"/>
    <tableColumn id="13" name="Updated"/>
  </tableColumns>
  <tableStyleInfo name="TableStyleMedium2" showRowStripes="1"/>
</table>
</file>

<file path=xl/tables/table2.xml><?xml version="1.0" encoding="utf-8"?>
<table xmlns="http://schemas.openxmlformats.org/spreadsheetml/2006/main" id="2" name="AutoScanner" displayName="AutoScanner" ref="A1:V101" headerRowCount="1">
  <autoFilter ref="A1:V101"/>
  <tableColumns count="22">
    <tableColumn id="1" name="Ticker"/>
    <tableColumn id="2" name="Class"/>
    <tableColumn id="3" name="Mode"/>
    <tableColumn id="4" name="Timeframe"/>
    <tableColumn id="5" name="Price"/>
    <tableColumn id="6" name="Change %"/>
    <tableColumn id="7" name="RSI"/>
    <tableColumn id="8" name="SMA20"/>
    <tableColumn id="9" name="SMA50"/>
    <tableColumn id="10" name="ATR"/>
    <tableColumn id="11" name="Volume Ratio"/>
    <tableColumn id="12" name="Setup"/>
    <tableColumn id="13" name="Direction"/>
    <tableColumn id="14" name="Entry"/>
    <tableColumn id="15" name="Stop"/>
    <tableColumn id="16" name="Target"/>
    <tableColumn id="17" name="R/R"/>
    <tableColumn id="18" name="Score"/>
    <tableColumn id="19" name="Confidence"/>
    <tableColumn id="20" name="Status"/>
    <tableColumn id="21" name="Reason"/>
    <tableColumn id="22" name="Updated"/>
  </tableColumns>
  <tableStyleInfo name="TableStyleMedium2" showRowStripes="1"/>
</table>
</file>

<file path=xl/tables/table3.xml><?xml version="1.0" encoding="utf-8"?>
<table xmlns="http://schemas.openxmlformats.org/spreadsheetml/2006/main" id="3" name="TradeJournal" displayName="TradeJournal" ref="A1:N101" headerRowCount="1">
  <autoFilter ref="A1:N101"/>
  <tableColumns count="14">
    <tableColumn id="1" name="Date"/>
    <tableColumn id="2" name="Asset"/>
    <tableColumn id="3" name="Class"/>
    <tableColumn id="4" name="Mode"/>
    <tableColumn id="5" name="Setup"/>
    <tableColumn id="6" name="Entry"/>
    <tableColumn id="7" name="Stop"/>
    <tableColumn id="8" name="Target"/>
    <tableColumn id="9" name="Qty"/>
    <tableColumn id="10" name="Risk $"/>
    <tableColumn id="11" name="Exit"/>
    <tableColumn id="12" name="P/L $"/>
    <tableColumn id="13" name="R"/>
    <tableColumn id="1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TRADING AI DASHBOARD V1.1</t>
        </is>
      </c>
    </row>
    <row r="3">
      <c r="A3" s="2" t="inlineStr">
        <is>
          <t>Paper Account</t>
        </is>
      </c>
      <c r="D3" s="2" t="inlineStr">
        <is>
          <t>System Status</t>
        </is>
      </c>
    </row>
    <row r="4">
      <c r="A4" t="inlineStr">
        <is>
          <t>Starting Capital</t>
        </is>
      </c>
      <c r="B4" s="3" t="n">
        <v>100000</v>
      </c>
      <c r="D4" t="inlineStr">
        <is>
          <t>Market data</t>
        </is>
      </c>
      <c r="E4" t="inlineStr">
        <is>
          <t>CONNECTED</t>
        </is>
      </c>
    </row>
    <row r="5">
      <c r="A5" t="inlineStr">
        <is>
          <t>Current Equity</t>
        </is>
      </c>
      <c r="B5" s="3" t="n">
        <v>100000</v>
      </c>
      <c r="D5" t="inlineStr">
        <is>
          <t>Last update</t>
        </is>
      </c>
      <c r="E5" t="inlineStr">
        <is>
          <t>2026-10-16 12:00 UTC</t>
        </is>
      </c>
    </row>
    <row r="6">
      <c r="A6" t="inlineStr">
        <is>
          <t>Cash</t>
        </is>
      </c>
      <c r="B6" s="3" t="n">
        <v>100000</v>
      </c>
      <c r="D6" t="inlineStr">
        <is>
          <t>Scanner</t>
        </is>
      </c>
      <c r="E6" t="inlineStr">
        <is>
          <t>READY</t>
        </is>
      </c>
    </row>
    <row r="7">
      <c r="A7" t="inlineStr">
        <is>
          <t>Realized P/L</t>
        </is>
      </c>
      <c r="B7" s="3" t="n">
        <v>0</v>
      </c>
      <c r="D7" t="inlineStr">
        <is>
          <t>Paper trading</t>
        </is>
      </c>
      <c r="E7" t="inlineStr">
        <is>
          <t>ENABLED</t>
        </is>
      </c>
    </row>
    <row r="8">
      <c r="A8" t="inlineStr">
        <is>
          <t>Unrealized P/L</t>
        </is>
      </c>
      <c r="B8" s="3" t="n">
        <v>0</v>
      </c>
    </row>
    <row r="9">
      <c r="A9" t="inlineStr">
        <is>
          <t>Total P/L</t>
        </is>
      </c>
      <c r="B9" s="3" t="n">
        <v>0</v>
      </c>
    </row>
    <row r="10">
      <c r="A10" t="inlineStr">
        <is>
          <t>Max Risk / Trade</t>
        </is>
      </c>
      <c r="B10" s="3" t="n">
        <v>500</v>
      </c>
    </row>
    <row r="11">
      <c r="A11" t="inlineStr">
        <is>
          <t>Max Daily Loss</t>
        </is>
      </c>
      <c r="B11" s="3" t="n">
        <v>1500</v>
      </c>
    </row>
    <row r="12">
      <c r="A12" t="inlineStr">
        <is>
          <t>Max Portfolio Risk</t>
        </is>
      </c>
      <c r="B12" s="3" t="n">
        <v>5000</v>
      </c>
    </row>
    <row r="15">
      <c r="A15" s="2" t="inlineStr">
        <is>
          <t>Watchlist</t>
        </is>
      </c>
    </row>
    <row r="16">
      <c r="A16" s="4" t="inlineStr">
        <is>
          <t>Ticker</t>
        </is>
      </c>
      <c r="B16" s="4" t="inlineStr">
        <is>
          <t>Class</t>
        </is>
      </c>
      <c r="C16" s="4" t="inlineStr">
        <is>
          <t>Mode</t>
        </is>
      </c>
      <c r="D16" s="4" t="inlineStr">
        <is>
          <t>Price</t>
        </is>
      </c>
      <c r="E16" s="4" t="inlineStr">
        <is>
          <t>Change %</t>
        </is>
      </c>
      <c r="F16" s="4" t="inlineStr">
        <is>
          <t>RSI</t>
        </is>
      </c>
      <c r="G16" s="4" t="inlineStr">
        <is>
          <t>SMA20</t>
        </is>
      </c>
      <c r="H16" s="4" t="inlineStr">
        <is>
          <t>SMA50</t>
        </is>
      </c>
      <c r="I16" s="4" t="inlineStr">
        <is>
          <t>Volume</t>
        </is>
      </c>
      <c r="J16" s="4" t="inlineStr">
        <is>
          <t>Signal</t>
        </is>
      </c>
      <c r="K16" s="4" t="inlineStr">
        <is>
          <t>Confidence</t>
        </is>
      </c>
      <c r="L16" s="4" t="inlineStr">
        <is>
          <t>Status</t>
        </is>
      </c>
      <c r="M16" s="4" t="inlineStr">
        <is>
          <t>Updated</t>
        </is>
      </c>
    </row>
    <row r="17">
      <c r="A17" t="inlineStr">
        <is>
          <t>AAPL</t>
        </is>
      </c>
      <c r="B17" t="inlineStr">
        <is>
          <t>Stock</t>
        </is>
      </c>
      <c r="C17" t="inlineStr">
        <is>
          <t>Day/Swing</t>
        </is>
      </c>
      <c r="D17" t="n">
        <v>342</v>
      </c>
      <c r="E17" t="n">
        <v>-0.2799160251924393</v>
      </c>
      <c r="F17" t="n">
        <v>51.14110429447853</v>
      </c>
      <c r="G17" t="n">
        <v>337.0574999999999</v>
      </c>
      <c r="H17" t="n">
        <v>325.0783999999999</v>
      </c>
      <c r="I17" t="n">
        <v>1.041814369281842</v>
      </c>
      <c r="J17" t="inlineStr">
        <is>
          <t>Trend/Momentum</t>
        </is>
      </c>
      <c r="K17" t="n">
        <v>75</v>
      </c>
      <c r="L17" t="inlineStr">
        <is>
          <t>POTENTIAL</t>
        </is>
      </c>
      <c r="M17" t="inlineStr">
        <is>
          <t>2026-10-16 12:00 UTC</t>
        </is>
      </c>
    </row>
    <row r="18">
      <c r="A18" t="inlineStr">
        <is>
          <t>NVDA</t>
        </is>
      </c>
      <c r="B18" t="inlineStr">
        <is>
          <t>Stock</t>
        </is>
      </c>
      <c r="C18" t="inlineStr">
        <is>
          <t>Day/Swing</t>
        </is>
      </c>
      <c r="D18" t="n">
        <v>217.23</v>
      </c>
      <c r="E18" t="n">
        <v>-1.839132399457755</v>
      </c>
      <c r="F18" t="n">
        <v>41.06654512306292</v>
      </c>
      <c r="G18" t="n">
        <v>228.584</v>
      </c>
      <c r="H18" t="n">
        <v>223.1737999999999</v>
      </c>
      <c r="I18" t="n">
        <v>1.191203086510397</v>
      </c>
      <c r="J18" t="inlineStr">
        <is>
          <t>Trend/Momentum</t>
        </is>
      </c>
      <c r="K18" t="n">
        <v>20</v>
      </c>
      <c r="L18" t="inlineStr">
        <is>
          <t>AVOID</t>
        </is>
      </c>
      <c r="M18" t="inlineStr">
        <is>
          <t>2026-10-16 12:00 UTC</t>
        </is>
      </c>
    </row>
    <row r="19">
      <c r="A19" t="inlineStr">
        <is>
          <t>BTC</t>
        </is>
      </c>
      <c r="B19" t="inlineStr">
        <is>
          <t>Crypto</t>
        </is>
      </c>
      <c r="C19" t="inlineStr">
        <is>
          <t>Day/Swing</t>
        </is>
      </c>
      <c r="D19" t="n">
        <v>82576</v>
      </c>
      <c r="E19" t="n">
        <v>2.07313</v>
      </c>
      <c r="F19" t="inlineStr"/>
      <c r="G19" t="inlineStr"/>
      <c r="H19" t="inlineStr"/>
      <c r="I19" t="n">
        <v>32385007241</v>
      </c>
      <c r="J19" t="inlineStr">
        <is>
          <t>Momentum</t>
        </is>
      </c>
      <c r="K19" t="n">
        <v>54.14626</v>
      </c>
      <c r="L19" t="inlineStr">
        <is>
          <t>WATCH</t>
        </is>
      </c>
      <c r="M19" t="inlineStr">
        <is>
          <t>2026-10-16 12:00 UTC</t>
        </is>
      </c>
    </row>
    <row r="20">
      <c r="A20" t="inlineStr">
        <is>
          <t>ETH</t>
        </is>
      </c>
      <c r="B20" t="inlineStr">
        <is>
          <t>Crypto</t>
        </is>
      </c>
      <c r="C20" t="inlineStr">
        <is>
          <t>Day/Swing</t>
        </is>
      </c>
      <c r="D20" t="n">
        <v>2475.54</v>
      </c>
      <c r="E20" t="n">
        <v>4.85061</v>
      </c>
      <c r="F20" t="inlineStr"/>
      <c r="G20" t="inlineStr"/>
      <c r="H20" t="inlineStr"/>
      <c r="I20" t="n">
        <v>14794394477</v>
      </c>
      <c r="J20" t="inlineStr">
        <is>
          <t>Momentum</t>
        </is>
      </c>
      <c r="K20" t="n">
        <v>59.70122</v>
      </c>
      <c r="L20" t="inlineStr">
        <is>
          <t>WATCH</t>
        </is>
      </c>
      <c r="M20" t="inlineStr">
        <is>
          <t>2026-10-16 12:00 UTC</t>
        </is>
      </c>
    </row>
    <row r="21">
      <c r="A21" t="inlineStr">
        <is>
          <t>SOL</t>
        </is>
      </c>
      <c r="B21" t="inlineStr">
        <is>
          <t>Crypto</t>
        </is>
      </c>
      <c r="C21" t="inlineStr">
        <is>
          <t>Day/Swing</t>
        </is>
      </c>
      <c r="D21" t="n">
        <v>106.49</v>
      </c>
      <c r="E21" t="n">
        <v>4.28311</v>
      </c>
      <c r="F21" t="inlineStr"/>
      <c r="G21" t="inlineStr"/>
      <c r="H21" t="inlineStr"/>
      <c r="I21" t="n">
        <v>3327178036</v>
      </c>
      <c r="J21" t="inlineStr">
        <is>
          <t>Momentum</t>
        </is>
      </c>
      <c r="K21" t="n">
        <v>58.56622</v>
      </c>
      <c r="L21" t="inlineStr">
        <is>
          <t>WATCH</t>
        </is>
      </c>
      <c r="M21" t="inlineStr">
        <is>
          <t>2026-10-16 12:00 UTC</t>
        </is>
      </c>
    </row>
    <row r="22">
      <c r="A22" t="inlineStr">
        <is>
          <t>ETH</t>
        </is>
      </c>
      <c r="B22" t="inlineStr">
        <is>
          <t>Crypto</t>
        </is>
      </c>
      <c r="C22" t="inlineStr">
        <is>
          <t>Day/Swing</t>
        </is>
      </c>
      <c r="D22" t="n">
        <v>2684.92</v>
      </c>
      <c r="E22" t="n">
        <v>0.96697</v>
      </c>
      <c r="I22" t="n">
        <v>5500499118</v>
      </c>
      <c r="J22" t="inlineStr">
        <is>
          <t>Momentum</t>
        </is>
      </c>
      <c r="K22" t="n">
        <v>51.93394</v>
      </c>
      <c r="L22" t="inlineStr">
        <is>
          <t>WATCH</t>
        </is>
      </c>
      <c r="M22" t="inlineStr">
        <is>
          <t>2026-10-03 21:35 UTC</t>
        </is>
      </c>
    </row>
    <row r="23">
      <c r="A23" t="inlineStr">
        <is>
          <t>SOL</t>
        </is>
      </c>
      <c r="B23" t="inlineStr">
        <is>
          <t>Crypto</t>
        </is>
      </c>
      <c r="C23" t="inlineStr">
        <is>
          <t>Day/Swing</t>
        </is>
      </c>
      <c r="D23" t="n">
        <v>119.59</v>
      </c>
      <c r="E23" t="n">
        <v>1.41626</v>
      </c>
      <c r="I23" t="n">
        <v>1627349470</v>
      </c>
      <c r="J23" t="inlineStr">
        <is>
          <t>Momentum</t>
        </is>
      </c>
      <c r="K23" t="n">
        <v>52.83252</v>
      </c>
      <c r="L23" t="inlineStr">
        <is>
          <t>WATCH</t>
        </is>
      </c>
      <c r="M23" t="inlineStr">
        <is>
          <t>2026-10-03 21:35 UTC</t>
        </is>
      </c>
    </row>
    <row r="24">
      <c r="A24" t="inlineStr">
        <is>
          <t>ETH</t>
        </is>
      </c>
      <c r="B24" t="inlineStr">
        <is>
          <t>Crypto</t>
        </is>
      </c>
      <c r="C24" t="inlineStr">
        <is>
          <t>Day/Swing</t>
        </is>
      </c>
      <c r="D24" t="n">
        <v>1881.27</v>
      </c>
      <c r="E24" t="n">
        <v>0.2</v>
      </c>
      <c r="I24" t="n">
        <v>2856432354</v>
      </c>
      <c r="J24" t="inlineStr">
        <is>
          <t>Momentum</t>
        </is>
      </c>
      <c r="K24" t="n">
        <v>50.4</v>
      </c>
      <c r="L24" t="inlineStr">
        <is>
          <t>WATCH</t>
        </is>
      </c>
      <c r="M24" t="inlineStr">
        <is>
          <t>2026-08-15 23:39 UTC</t>
        </is>
      </c>
    </row>
    <row r="25">
      <c r="A25" t="inlineStr">
        <is>
          <t>SOL</t>
        </is>
      </c>
      <c r="B25" t="inlineStr">
        <is>
          <t>Crypto</t>
        </is>
      </c>
      <c r="C25" t="inlineStr">
        <is>
          <t>Day/Swing</t>
        </is>
      </c>
      <c r="D25" t="n">
        <v>75.29000000000001</v>
      </c>
      <c r="E25" t="n">
        <v>0.5</v>
      </c>
      <c r="I25" t="n">
        <v>653245990</v>
      </c>
      <c r="J25" t="inlineStr">
        <is>
          <t>Momentum</t>
        </is>
      </c>
      <c r="K25" t="n">
        <v>51</v>
      </c>
      <c r="L25" t="inlineStr">
        <is>
          <t>WATCH</t>
        </is>
      </c>
      <c r="M25" t="inlineStr">
        <is>
          <t>2026-08-15 23:39 UTC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4" t="inlineStr">
        <is>
          <t>Ticker</t>
        </is>
      </c>
      <c r="B1" s="4" t="inlineStr">
        <is>
          <t>Class</t>
        </is>
      </c>
      <c r="C1" s="4" t="inlineStr">
        <is>
          <t>Mode</t>
        </is>
      </c>
      <c r="D1" s="4" t="inlineStr">
        <is>
          <t>Timeframe</t>
        </is>
      </c>
      <c r="E1" s="4" t="inlineStr">
        <is>
          <t>Price</t>
        </is>
      </c>
      <c r="F1" s="4" t="inlineStr">
        <is>
          <t>Change %</t>
        </is>
      </c>
      <c r="G1" s="4" t="inlineStr">
        <is>
          <t>RSI</t>
        </is>
      </c>
      <c r="H1" s="4" t="inlineStr">
        <is>
          <t>SMA20</t>
        </is>
      </c>
      <c r="I1" s="4" t="inlineStr">
        <is>
          <t>SMA50</t>
        </is>
      </c>
      <c r="J1" s="4" t="inlineStr">
        <is>
          <t>ATR</t>
        </is>
      </c>
      <c r="K1" s="4" t="inlineStr">
        <is>
          <t>Volume Ratio</t>
        </is>
      </c>
      <c r="L1" s="4" t="inlineStr">
        <is>
          <t>Setup</t>
        </is>
      </c>
      <c r="M1" s="4" t="inlineStr">
        <is>
          <t>Direction</t>
        </is>
      </c>
      <c r="N1" s="4" t="inlineStr">
        <is>
          <t>Entry</t>
        </is>
      </c>
      <c r="O1" s="4" t="inlineStr">
        <is>
          <t>Stop</t>
        </is>
      </c>
      <c r="P1" s="4" t="inlineStr">
        <is>
          <t>Target</t>
        </is>
      </c>
      <c r="Q1" s="4" t="inlineStr">
        <is>
          <t>R/R</t>
        </is>
      </c>
      <c r="R1" s="4" t="inlineStr">
        <is>
          <t>Score</t>
        </is>
      </c>
      <c r="S1" s="4" t="inlineStr">
        <is>
          <t>Confidence</t>
        </is>
      </c>
      <c r="T1" s="4" t="inlineStr">
        <is>
          <t>Status</t>
        </is>
      </c>
      <c r="U1" s="4" t="inlineStr">
        <is>
          <t>Reason</t>
        </is>
      </c>
      <c r="V1" s="4" t="inlineStr">
        <is>
          <t>Updated</t>
        </is>
      </c>
    </row>
    <row r="2">
      <c r="A2" t="inlineStr">
        <is>
          <t>AAPL</t>
        </is>
      </c>
      <c r="B2" t="inlineStr">
        <is>
          <t>Stock</t>
        </is>
      </c>
      <c r="C2" t="inlineStr">
        <is>
          <t>Day/Swing</t>
        </is>
      </c>
      <c r="D2" t="inlineStr">
        <is>
          <t>1D</t>
        </is>
      </c>
      <c r="E2" t="n">
        <v>342</v>
      </c>
      <c r="F2" t="n">
        <v>-0.2799160251924393</v>
      </c>
      <c r="G2" t="n">
        <v>51.14110429447853</v>
      </c>
      <c r="H2" t="n">
        <v>337.0574999999999</v>
      </c>
      <c r="I2" t="n">
        <v>325.0783999999999</v>
      </c>
      <c r="J2" t="inlineStr"/>
      <c r="K2" t="n">
        <v>1.041814369281842</v>
      </c>
      <c r="L2" t="inlineStr">
        <is>
          <t>Trend/Momentum</t>
        </is>
      </c>
      <c r="M2" t="inlineStr">
        <is>
          <t>LONG</t>
        </is>
      </c>
      <c r="N2" t="n">
        <v>342</v>
      </c>
      <c r="O2" t="n">
        <v>335.16</v>
      </c>
      <c r="P2" t="n">
        <v>355.68</v>
      </c>
      <c r="Q2" s="5" t="n">
        <v>3</v>
      </c>
      <c r="R2" t="n">
        <v>75</v>
      </c>
      <c r="S2" t="n">
        <v>75</v>
      </c>
      <c r="T2" t="inlineStr">
        <is>
          <t>POTENTIAL</t>
        </is>
      </c>
      <c r="U2" t="inlineStr">
        <is>
          <t>price above SMA20; price above SMA50; SMA20 above SMA50; RSI in bullish zone</t>
        </is>
      </c>
      <c r="V2" t="inlineStr">
        <is>
          <t>2026-10-16 12:00 UTC</t>
        </is>
      </c>
    </row>
    <row r="3">
      <c r="A3" t="inlineStr">
        <is>
          <t>NVDA</t>
        </is>
      </c>
      <c r="B3" t="inlineStr">
        <is>
          <t>Stock</t>
        </is>
      </c>
      <c r="C3" t="inlineStr">
        <is>
          <t>Day/Swing</t>
        </is>
      </c>
      <c r="D3" t="inlineStr">
        <is>
          <t>1D</t>
        </is>
      </c>
      <c r="E3" t="n">
        <v>217.23</v>
      </c>
      <c r="F3" t="n">
        <v>-1.839132399457755</v>
      </c>
      <c r="G3" t="n">
        <v>41.06654512306292</v>
      </c>
      <c r="H3" t="n">
        <v>228.584</v>
      </c>
      <c r="I3" t="n">
        <v>223.1737999999999</v>
      </c>
      <c r="J3" t="inlineStr"/>
      <c r="K3" t="n">
        <v>1.191203086510397</v>
      </c>
      <c r="L3" t="inlineStr">
        <is>
          <t>Trend/Momentum</t>
        </is>
      </c>
      <c r="M3" t="inlineStr">
        <is>
          <t>LONG</t>
        </is>
      </c>
      <c r="N3" t="n">
        <v>217.23</v>
      </c>
      <c r="O3" t="n">
        <v>212.8854</v>
      </c>
      <c r="P3" t="n">
        <v>225.9192</v>
      </c>
      <c r="Q3" s="5" t="n">
        <v>0.8</v>
      </c>
      <c r="R3" t="n">
        <v>20</v>
      </c>
      <c r="S3" t="n">
        <v>20</v>
      </c>
      <c r="T3" t="inlineStr">
        <is>
          <t>AVOID</t>
        </is>
      </c>
      <c r="U3" t="inlineStr">
        <is>
          <t>SMA20 above SMA50</t>
        </is>
      </c>
      <c r="V3" t="inlineStr">
        <is>
          <t>2026-10-16 12:00 UTC</t>
        </is>
      </c>
    </row>
    <row r="4">
      <c r="A4" t="inlineStr">
        <is>
          <t>BTC</t>
        </is>
      </c>
      <c r="B4" t="inlineStr">
        <is>
          <t>Crypto</t>
        </is>
      </c>
      <c r="C4" t="inlineStr">
        <is>
          <t>Day/Swing</t>
        </is>
      </c>
      <c r="D4" t="inlineStr">
        <is>
          <t>1D</t>
        </is>
      </c>
      <c r="E4" t="n">
        <v>82576</v>
      </c>
      <c r="F4" t="n">
        <v>2.07313</v>
      </c>
      <c r="G4" t="inlineStr"/>
      <c r="H4" t="inlineStr"/>
      <c r="I4" t="inlineStr"/>
      <c r="J4" t="inlineStr"/>
      <c r="K4" t="n">
        <v>32385007241</v>
      </c>
      <c r="L4" t="inlineStr">
        <is>
          <t>Momentum</t>
        </is>
      </c>
      <c r="M4" t="inlineStr">
        <is>
          <t>LONG</t>
        </is>
      </c>
      <c r="N4" t="n">
        <v>82576</v>
      </c>
      <c r="O4" t="n">
        <v>78447.2</v>
      </c>
      <c r="P4" t="n">
        <v>90833.60000000001</v>
      </c>
      <c r="Q4" s="5" t="n">
        <v>2</v>
      </c>
      <c r="R4" t="n">
        <v>54.14626</v>
      </c>
      <c r="S4" t="n">
        <v>54.14626</v>
      </c>
      <c r="T4" t="inlineStr">
        <is>
          <t>WATCH</t>
        </is>
      </c>
      <c r="U4" t="inlineStr">
        <is>
          <t>24h momentum from CoinGecko market data</t>
        </is>
      </c>
      <c r="V4" t="inlineStr">
        <is>
          <t>2026-10-16 12:00 UTC</t>
        </is>
      </c>
    </row>
    <row r="5">
      <c r="A5" t="inlineStr">
        <is>
          <t>ETH</t>
        </is>
      </c>
      <c r="B5" t="inlineStr">
        <is>
          <t>Crypto</t>
        </is>
      </c>
      <c r="C5" t="inlineStr">
        <is>
          <t>Day/Swing</t>
        </is>
      </c>
      <c r="D5" t="inlineStr">
        <is>
          <t>1D</t>
        </is>
      </c>
      <c r="E5" t="n">
        <v>2475.54</v>
      </c>
      <c r="F5" t="n">
        <v>4.85061</v>
      </c>
      <c r="G5" t="inlineStr"/>
      <c r="H5" t="inlineStr"/>
      <c r="I5" t="inlineStr"/>
      <c r="J5" t="inlineStr"/>
      <c r="K5" t="n">
        <v>14794394477</v>
      </c>
      <c r="L5" t="inlineStr">
        <is>
          <t>Momentum</t>
        </is>
      </c>
      <c r="M5" t="inlineStr">
        <is>
          <t>LONG</t>
        </is>
      </c>
      <c r="N5" t="n">
        <v>2475.54</v>
      </c>
      <c r="O5" t="n">
        <v>2351.763</v>
      </c>
      <c r="P5" t="n">
        <v>2723.094</v>
      </c>
      <c r="Q5" s="5" t="n">
        <v>2</v>
      </c>
      <c r="R5" t="n">
        <v>59.70122</v>
      </c>
      <c r="S5" t="n">
        <v>59.70122</v>
      </c>
      <c r="T5" t="inlineStr">
        <is>
          <t>WATCH</t>
        </is>
      </c>
      <c r="U5" t="inlineStr">
        <is>
          <t>24h momentum from CoinGecko market data</t>
        </is>
      </c>
      <c r="V5" t="inlineStr">
        <is>
          <t>2026-10-16 12:00 UTC</t>
        </is>
      </c>
    </row>
    <row r="6">
      <c r="A6" t="inlineStr">
        <is>
          <t>SOL</t>
        </is>
      </c>
      <c r="B6" t="inlineStr">
        <is>
          <t>Crypto</t>
        </is>
      </c>
      <c r="C6" t="inlineStr">
        <is>
          <t>Day/Swing</t>
        </is>
      </c>
      <c r="D6" t="inlineStr">
        <is>
          <t>1D</t>
        </is>
      </c>
      <c r="E6" t="n">
        <v>106.49</v>
      </c>
      <c r="F6" t="n">
        <v>4.28311</v>
      </c>
      <c r="G6" t="inlineStr"/>
      <c r="H6" t="inlineStr"/>
      <c r="I6" t="inlineStr"/>
      <c r="J6" t="inlineStr"/>
      <c r="K6" t="n">
        <v>3327178036</v>
      </c>
      <c r="L6" t="inlineStr">
        <is>
          <t>Momentum</t>
        </is>
      </c>
      <c r="M6" t="inlineStr">
        <is>
          <t>LONG</t>
        </is>
      </c>
      <c r="N6" t="n">
        <v>106.49</v>
      </c>
      <c r="O6" t="n">
        <v>101.1655</v>
      </c>
      <c r="P6" t="n">
        <v>117.139</v>
      </c>
      <c r="Q6" s="5" t="n">
        <v>2</v>
      </c>
      <c r="R6" t="n">
        <v>58.56622</v>
      </c>
      <c r="S6" t="n">
        <v>58.56622</v>
      </c>
      <c r="T6" t="inlineStr">
        <is>
          <t>WATCH</t>
        </is>
      </c>
      <c r="U6" t="inlineStr">
        <is>
          <t>24h momentum from CoinGecko market data</t>
        </is>
      </c>
      <c r="V6" t="inlineStr">
        <is>
          <t>2026-10-16 12:00 UTC</t>
        </is>
      </c>
    </row>
    <row r="7">
      <c r="A7" t="inlineStr">
        <is>
          <t>ETH</t>
        </is>
      </c>
      <c r="B7" t="inlineStr">
        <is>
          <t>Crypto</t>
        </is>
      </c>
      <c r="C7" t="inlineStr">
        <is>
          <t>Day/Swing</t>
        </is>
      </c>
      <c r="D7" t="inlineStr">
        <is>
          <t>1D</t>
        </is>
      </c>
      <c r="E7" t="n">
        <v>2684.92</v>
      </c>
      <c r="F7" t="n">
        <v>0.96697</v>
      </c>
      <c r="K7" t="n">
        <v>5500499118</v>
      </c>
      <c r="L7" t="inlineStr">
        <is>
          <t>Momentum</t>
        </is>
      </c>
      <c r="M7" t="inlineStr">
        <is>
          <t>LONG</t>
        </is>
      </c>
      <c r="N7" t="n">
        <v>2684.92</v>
      </c>
      <c r="O7" t="n">
        <v>2550.674</v>
      </c>
      <c r="P7" t="n">
        <v>2953.412</v>
      </c>
      <c r="Q7" s="5" t="n">
        <v>2</v>
      </c>
      <c r="R7" t="n">
        <v>51.93394</v>
      </c>
      <c r="S7" t="n">
        <v>51.93394</v>
      </c>
      <c r="T7" t="inlineStr">
        <is>
          <t>WATCH</t>
        </is>
      </c>
      <c r="U7" t="inlineStr">
        <is>
          <t>24h momentum from CoinGecko market data</t>
        </is>
      </c>
      <c r="V7" t="inlineStr">
        <is>
          <t>2026-10-03 21:35 UTC</t>
        </is>
      </c>
    </row>
    <row r="8">
      <c r="A8" t="inlineStr">
        <is>
          <t>SOL</t>
        </is>
      </c>
      <c r="B8" t="inlineStr">
        <is>
          <t>Crypto</t>
        </is>
      </c>
      <c r="C8" t="inlineStr">
        <is>
          <t>Day/Swing</t>
        </is>
      </c>
      <c r="D8" t="inlineStr">
        <is>
          <t>1D</t>
        </is>
      </c>
      <c r="E8" t="n">
        <v>119.59</v>
      </c>
      <c r="F8" t="n">
        <v>1.41626</v>
      </c>
      <c r="K8" t="n">
        <v>1627349470</v>
      </c>
      <c r="L8" t="inlineStr">
        <is>
          <t>Momentum</t>
        </is>
      </c>
      <c r="M8" t="inlineStr">
        <is>
          <t>LONG</t>
        </is>
      </c>
      <c r="N8" t="n">
        <v>119.59</v>
      </c>
      <c r="O8" t="n">
        <v>113.6105</v>
      </c>
      <c r="P8" t="n">
        <v>131.549</v>
      </c>
      <c r="Q8" s="5" t="n">
        <v>2</v>
      </c>
      <c r="R8" t="n">
        <v>52.83252</v>
      </c>
      <c r="S8" t="n">
        <v>52.83252</v>
      </c>
      <c r="T8" t="inlineStr">
        <is>
          <t>WATCH</t>
        </is>
      </c>
      <c r="U8" t="inlineStr">
        <is>
          <t>24h momentum from CoinGecko market data</t>
        </is>
      </c>
      <c r="V8" t="inlineStr">
        <is>
          <t>2026-10-03 21:35 UTC</t>
        </is>
      </c>
    </row>
    <row r="9">
      <c r="A9" t="inlineStr">
        <is>
          <t>ETH</t>
        </is>
      </c>
      <c r="B9" t="inlineStr">
        <is>
          <t>Crypto</t>
        </is>
      </c>
      <c r="C9" t="inlineStr">
        <is>
          <t>Day/Swing</t>
        </is>
      </c>
      <c r="D9" t="inlineStr">
        <is>
          <t>1D</t>
        </is>
      </c>
      <c r="E9" t="n">
        <v>1881.27</v>
      </c>
      <c r="F9" t="n">
        <v>0.2</v>
      </c>
      <c r="K9" t="n">
        <v>2856432354</v>
      </c>
      <c r="L9" t="inlineStr">
        <is>
          <t>Momentum</t>
        </is>
      </c>
      <c r="M9" t="inlineStr">
        <is>
          <t>LONG</t>
        </is>
      </c>
      <c r="N9" t="n">
        <v>1881.27</v>
      </c>
      <c r="O9" t="n">
        <v>1787.2065</v>
      </c>
      <c r="P9" t="n">
        <v>2069.397</v>
      </c>
      <c r="Q9" s="5" t="n">
        <v>2</v>
      </c>
      <c r="R9" t="n">
        <v>50.4</v>
      </c>
      <c r="S9" t="n">
        <v>50.4</v>
      </c>
      <c r="T9" t="inlineStr">
        <is>
          <t>WATCH</t>
        </is>
      </c>
      <c r="U9" t="inlineStr">
        <is>
          <t>24h momentum from CoinGecko market data</t>
        </is>
      </c>
      <c r="V9" t="inlineStr">
        <is>
          <t>2026-08-15 23:39 UTC</t>
        </is>
      </c>
    </row>
    <row r="10">
      <c r="A10" t="inlineStr">
        <is>
          <t>SOL</t>
        </is>
      </c>
      <c r="B10" t="inlineStr">
        <is>
          <t>Crypto</t>
        </is>
      </c>
      <c r="C10" t="inlineStr">
        <is>
          <t>Day/Swing</t>
        </is>
      </c>
      <c r="D10" t="inlineStr">
        <is>
          <t>1D</t>
        </is>
      </c>
      <c r="E10" t="n">
        <v>75.29000000000001</v>
      </c>
      <c r="F10" t="n">
        <v>0.5</v>
      </c>
      <c r="K10" t="n">
        <v>653245990</v>
      </c>
      <c r="L10" t="inlineStr">
        <is>
          <t>Momentum</t>
        </is>
      </c>
      <c r="M10" t="inlineStr">
        <is>
          <t>LONG</t>
        </is>
      </c>
      <c r="N10" t="n">
        <v>75.29000000000001</v>
      </c>
      <c r="O10" t="n">
        <v>71.52550000000001</v>
      </c>
      <c r="P10" t="n">
        <v>82.81900000000002</v>
      </c>
      <c r="Q10" s="5" t="n">
        <v>2</v>
      </c>
      <c r="R10" t="n">
        <v>51</v>
      </c>
      <c r="S10" t="n">
        <v>51</v>
      </c>
      <c r="T10" t="inlineStr">
        <is>
          <t>WATCH</t>
        </is>
      </c>
      <c r="U10" t="inlineStr">
        <is>
          <t>24h momentum from CoinGecko market data</t>
        </is>
      </c>
      <c r="V10" t="inlineStr">
        <is>
          <t>2026-08-15 23:39 UTC</t>
        </is>
      </c>
    </row>
    <row r="11">
      <c r="Q11" s="5">
        <f>IF(OR(N11="",O11="",P11=""),"",ABS(P11-N11)/ABS(N11-O11))</f>
        <v/>
      </c>
    </row>
    <row r="12">
      <c r="Q12" s="5">
        <f>IF(OR(N12="",O12="",P12=""),"",ABS(P12-N12)/ABS(N12-O12))</f>
        <v/>
      </c>
    </row>
    <row r="13">
      <c r="Q13" s="5">
        <f>IF(OR(N13="",O13="",P13=""),"",ABS(P13-N13)/ABS(N13-O13))</f>
        <v/>
      </c>
    </row>
    <row r="14">
      <c r="Q14" s="5">
        <f>IF(OR(N14="",O14="",P14=""),"",ABS(P14-N14)/ABS(N14-O14))</f>
        <v/>
      </c>
    </row>
    <row r="15">
      <c r="Q15" s="5">
        <f>IF(OR(N15="",O15="",P15=""),"",ABS(P15-N15)/ABS(N15-O15))</f>
        <v/>
      </c>
    </row>
    <row r="16">
      <c r="Q16" s="5">
        <f>IF(OR(N16="",O16="",P16=""),"",ABS(P16-N16)/ABS(N16-O16))</f>
        <v/>
      </c>
    </row>
    <row r="17">
      <c r="Q17" s="5">
        <f>IF(OR(N17="",O17="",P17=""),"",ABS(P17-N17)/ABS(N17-O17))</f>
        <v/>
      </c>
    </row>
    <row r="18">
      <c r="Q18" s="5">
        <f>IF(OR(N18="",O18="",P18=""),"",ABS(P18-N18)/ABS(N18-O18))</f>
        <v/>
      </c>
    </row>
    <row r="19">
      <c r="Q19" s="5">
        <f>IF(OR(N19="",O19="",P19=""),"",ABS(P19-N19)/ABS(N19-O19))</f>
        <v/>
      </c>
    </row>
    <row r="20">
      <c r="Q20" s="5">
        <f>IF(OR(N20="",O20="",P20=""),"",ABS(P20-N20)/ABS(N20-O20))</f>
        <v/>
      </c>
    </row>
    <row r="21">
      <c r="Q21" s="5">
        <f>IF(OR(N21="",O21="",P21=""),"",ABS(P21-N21)/ABS(N21-O21))</f>
        <v/>
      </c>
    </row>
    <row r="22">
      <c r="Q22" s="5">
        <f>IF(OR(N22="",O22="",P22=""),"",ABS(P22-N22)/ABS(N22-O22))</f>
        <v/>
      </c>
    </row>
    <row r="23">
      <c r="Q23" s="5">
        <f>IF(OR(N23="",O23="",P23=""),"",ABS(P23-N23)/ABS(N23-O23))</f>
        <v/>
      </c>
    </row>
    <row r="24">
      <c r="Q24" s="5">
        <f>IF(OR(N24="",O24="",P24=""),"",ABS(P24-N24)/ABS(N24-O24))</f>
        <v/>
      </c>
    </row>
    <row r="25">
      <c r="Q25" s="5">
        <f>IF(OR(N25="",O25="",P25=""),"",ABS(P25-N25)/ABS(N25-O25))</f>
        <v/>
      </c>
    </row>
    <row r="26">
      <c r="Q26" s="5">
        <f>IF(OR(N26="",O26="",P26=""),"",ABS(P26-N26)/ABS(N26-O26))</f>
        <v/>
      </c>
    </row>
    <row r="27">
      <c r="Q27" s="5">
        <f>IF(OR(N27="",O27="",P27=""),"",ABS(P27-N27)/ABS(N27-O27))</f>
        <v/>
      </c>
    </row>
    <row r="28">
      <c r="Q28" s="5">
        <f>IF(OR(N28="",O28="",P28=""),"",ABS(P28-N28)/ABS(N28-O28))</f>
        <v/>
      </c>
    </row>
    <row r="29">
      <c r="Q29" s="5">
        <f>IF(OR(N29="",O29="",P29=""),"",ABS(P29-N29)/ABS(N29-O29))</f>
        <v/>
      </c>
    </row>
    <row r="30">
      <c r="Q30" s="5">
        <f>IF(OR(N30="",O30="",P30=""),"",ABS(P30-N30)/ABS(N30-O30))</f>
        <v/>
      </c>
    </row>
    <row r="31">
      <c r="Q31" s="5">
        <f>IF(OR(N31="",O31="",P31=""),"",ABS(P31-N31)/ABS(N31-O31))</f>
        <v/>
      </c>
    </row>
    <row r="32">
      <c r="Q32" s="5">
        <f>IF(OR(N32="",O32="",P32=""),"",ABS(P32-N32)/ABS(N32-O32))</f>
        <v/>
      </c>
    </row>
    <row r="33">
      <c r="Q33" s="5">
        <f>IF(OR(N33="",O33="",P33=""),"",ABS(P33-N33)/ABS(N33-O33))</f>
        <v/>
      </c>
    </row>
    <row r="34">
      <c r="Q34" s="5">
        <f>IF(OR(N34="",O34="",P34=""),"",ABS(P34-N34)/ABS(N34-O34))</f>
        <v/>
      </c>
    </row>
    <row r="35">
      <c r="Q35" s="5">
        <f>IF(OR(N35="",O35="",P35=""),"",ABS(P35-N35)/ABS(N35-O35))</f>
        <v/>
      </c>
    </row>
    <row r="36">
      <c r="Q36" s="5">
        <f>IF(OR(N36="",O36="",P36=""),"",ABS(P36-N36)/ABS(N36-O36))</f>
        <v/>
      </c>
    </row>
    <row r="37">
      <c r="Q37" s="5">
        <f>IF(OR(N37="",O37="",P37=""),"",ABS(P37-N37)/ABS(N37-O37))</f>
        <v/>
      </c>
    </row>
    <row r="38">
      <c r="Q38" s="5">
        <f>IF(OR(N38="",O38="",P38=""),"",ABS(P38-N38)/ABS(N38-O38))</f>
        <v/>
      </c>
    </row>
    <row r="39">
      <c r="Q39" s="5">
        <f>IF(OR(N39="",O39="",P39=""),"",ABS(P39-N39)/ABS(N39-O39))</f>
        <v/>
      </c>
    </row>
    <row r="40">
      <c r="Q40" s="5">
        <f>IF(OR(N40="",O40="",P40=""),"",ABS(P40-N40)/ABS(N40-O40))</f>
        <v/>
      </c>
    </row>
    <row r="41">
      <c r="Q41" s="5">
        <f>IF(OR(N41="",O41="",P41=""),"",ABS(P41-N41)/ABS(N41-O41))</f>
        <v/>
      </c>
    </row>
    <row r="42">
      <c r="Q42" s="5">
        <f>IF(OR(N42="",O42="",P42=""),"",ABS(P42-N42)/ABS(N42-O42))</f>
        <v/>
      </c>
    </row>
    <row r="43">
      <c r="Q43" s="5">
        <f>IF(OR(N43="",O43="",P43=""),"",ABS(P43-N43)/ABS(N43-O43))</f>
        <v/>
      </c>
    </row>
    <row r="44">
      <c r="Q44" s="5">
        <f>IF(OR(N44="",O44="",P44=""),"",ABS(P44-N44)/ABS(N44-O44))</f>
        <v/>
      </c>
    </row>
    <row r="45">
      <c r="Q45" s="5">
        <f>IF(OR(N45="",O45="",P45=""),"",ABS(P45-N45)/ABS(N45-O45))</f>
        <v/>
      </c>
    </row>
    <row r="46">
      <c r="Q46" s="5">
        <f>IF(OR(N46="",O46="",P46=""),"",ABS(P46-N46)/ABS(N46-O46))</f>
        <v/>
      </c>
    </row>
    <row r="47">
      <c r="Q47" s="5">
        <f>IF(OR(N47="",O47="",P47=""),"",ABS(P47-N47)/ABS(N47-O47))</f>
        <v/>
      </c>
    </row>
    <row r="48">
      <c r="Q48" s="5">
        <f>IF(OR(N48="",O48="",P48=""),"",ABS(P48-N48)/ABS(N48-O48))</f>
        <v/>
      </c>
    </row>
    <row r="49">
      <c r="Q49" s="5">
        <f>IF(OR(N49="",O49="",P49=""),"",ABS(P49-N49)/ABS(N49-O49))</f>
        <v/>
      </c>
    </row>
    <row r="50">
      <c r="Q50" s="5">
        <f>IF(OR(N50="",O50="",P50=""),"",ABS(P50-N50)/ABS(N50-O50))</f>
        <v/>
      </c>
    </row>
    <row r="51">
      <c r="Q51" s="5">
        <f>IF(OR(N51="",O51="",P51=""),"",ABS(P51-N51)/ABS(N51-O51))</f>
        <v/>
      </c>
    </row>
    <row r="52">
      <c r="Q52" s="5">
        <f>IF(OR(N52="",O52="",P52=""),"",ABS(P52-N52)/ABS(N52-O52))</f>
        <v/>
      </c>
    </row>
    <row r="53">
      <c r="Q53" s="5">
        <f>IF(OR(N53="",O53="",P53=""),"",ABS(P53-N53)/ABS(N53-O53))</f>
        <v/>
      </c>
    </row>
    <row r="54">
      <c r="Q54" s="5">
        <f>IF(OR(N54="",O54="",P54=""),"",ABS(P54-N54)/ABS(N54-O54))</f>
        <v/>
      </c>
    </row>
    <row r="55">
      <c r="Q55" s="5">
        <f>IF(OR(N55="",O55="",P55=""),"",ABS(P55-N55)/ABS(N55-O55))</f>
        <v/>
      </c>
    </row>
    <row r="56">
      <c r="Q56" s="5">
        <f>IF(OR(N56="",O56="",P56=""),"",ABS(P56-N56)/ABS(N56-O56))</f>
        <v/>
      </c>
    </row>
    <row r="57">
      <c r="Q57" s="5">
        <f>IF(OR(N57="",O57="",P57=""),"",ABS(P57-N57)/ABS(N57-O57))</f>
        <v/>
      </c>
    </row>
    <row r="58">
      <c r="Q58" s="5">
        <f>IF(OR(N58="",O58="",P58=""),"",ABS(P58-N58)/ABS(N58-O58))</f>
        <v/>
      </c>
    </row>
    <row r="59">
      <c r="Q59" s="5">
        <f>IF(OR(N59="",O59="",P59=""),"",ABS(P59-N59)/ABS(N59-O59))</f>
        <v/>
      </c>
    </row>
    <row r="60">
      <c r="Q60" s="5">
        <f>IF(OR(N60="",O60="",P60=""),"",ABS(P60-N60)/ABS(N60-O60))</f>
        <v/>
      </c>
    </row>
    <row r="61">
      <c r="Q61" s="5">
        <f>IF(OR(N61="",O61="",P61=""),"",ABS(P61-N61)/ABS(N61-O61))</f>
        <v/>
      </c>
    </row>
    <row r="62">
      <c r="Q62" s="5">
        <f>IF(OR(N62="",O62="",P62=""),"",ABS(P62-N62)/ABS(N62-O62))</f>
        <v/>
      </c>
    </row>
    <row r="63">
      <c r="Q63" s="5">
        <f>IF(OR(N63="",O63="",P63=""),"",ABS(P63-N63)/ABS(N63-O63))</f>
        <v/>
      </c>
    </row>
    <row r="64">
      <c r="Q64" s="5">
        <f>IF(OR(N64="",O64="",P64=""),"",ABS(P64-N64)/ABS(N64-O64))</f>
        <v/>
      </c>
    </row>
    <row r="65">
      <c r="Q65" s="5">
        <f>IF(OR(N65="",O65="",P65=""),"",ABS(P65-N65)/ABS(N65-O65))</f>
        <v/>
      </c>
    </row>
    <row r="66">
      <c r="Q66" s="5">
        <f>IF(OR(N66="",O66="",P66=""),"",ABS(P66-N66)/ABS(N66-O66))</f>
        <v/>
      </c>
    </row>
    <row r="67">
      <c r="Q67" s="5">
        <f>IF(OR(N67="",O67="",P67=""),"",ABS(P67-N67)/ABS(N67-O67))</f>
        <v/>
      </c>
    </row>
    <row r="68">
      <c r="Q68" s="5">
        <f>IF(OR(N68="",O68="",P68=""),"",ABS(P68-N68)/ABS(N68-O68))</f>
        <v/>
      </c>
    </row>
    <row r="69">
      <c r="Q69" s="5">
        <f>IF(OR(N69="",O69="",P69=""),"",ABS(P69-N69)/ABS(N69-O69))</f>
        <v/>
      </c>
    </row>
    <row r="70">
      <c r="Q70" s="5">
        <f>IF(OR(N70="",O70="",P70=""),"",ABS(P70-N70)/ABS(N70-O70))</f>
        <v/>
      </c>
    </row>
    <row r="71">
      <c r="Q71" s="5">
        <f>IF(OR(N71="",O71="",P71=""),"",ABS(P71-N71)/ABS(N71-O71))</f>
        <v/>
      </c>
    </row>
    <row r="72">
      <c r="Q72" s="5">
        <f>IF(OR(N72="",O72="",P72=""),"",ABS(P72-N72)/ABS(N72-O72))</f>
        <v/>
      </c>
    </row>
    <row r="73">
      <c r="Q73" s="5">
        <f>IF(OR(N73="",O73="",P73=""),"",ABS(P73-N73)/ABS(N73-O73))</f>
        <v/>
      </c>
    </row>
    <row r="74">
      <c r="Q74" s="5">
        <f>IF(OR(N74="",O74="",P74=""),"",ABS(P74-N74)/ABS(N74-O74))</f>
        <v/>
      </c>
    </row>
    <row r="75">
      <c r="Q75" s="5">
        <f>IF(OR(N75="",O75="",P75=""),"",ABS(P75-N75)/ABS(N75-O75))</f>
        <v/>
      </c>
    </row>
    <row r="76">
      <c r="Q76" s="5">
        <f>IF(OR(N76="",O76="",P76=""),"",ABS(P76-N76)/ABS(N76-O76))</f>
        <v/>
      </c>
    </row>
    <row r="77">
      <c r="Q77" s="5">
        <f>IF(OR(N77="",O77="",P77=""),"",ABS(P77-N77)/ABS(N77-O77))</f>
        <v/>
      </c>
    </row>
    <row r="78">
      <c r="Q78" s="5">
        <f>IF(OR(N78="",O78="",P78=""),"",ABS(P78-N78)/ABS(N78-O78))</f>
        <v/>
      </c>
    </row>
    <row r="79">
      <c r="Q79" s="5">
        <f>IF(OR(N79="",O79="",P79=""),"",ABS(P79-N79)/ABS(N79-O79))</f>
        <v/>
      </c>
    </row>
    <row r="80">
      <c r="Q80" s="5">
        <f>IF(OR(N80="",O80="",P80=""),"",ABS(P80-N80)/ABS(N80-O80))</f>
        <v/>
      </c>
    </row>
    <row r="81">
      <c r="Q81" s="5">
        <f>IF(OR(N81="",O81="",P81=""),"",ABS(P81-N81)/ABS(N81-O81))</f>
        <v/>
      </c>
    </row>
    <row r="82">
      <c r="Q82" s="5">
        <f>IF(OR(N82="",O82="",P82=""),"",ABS(P82-N82)/ABS(N82-O82))</f>
        <v/>
      </c>
    </row>
    <row r="83">
      <c r="Q83" s="5">
        <f>IF(OR(N83="",O83="",P83=""),"",ABS(P83-N83)/ABS(N83-O83))</f>
        <v/>
      </c>
    </row>
    <row r="84">
      <c r="Q84" s="5">
        <f>IF(OR(N84="",O84="",P84=""),"",ABS(P84-N84)/ABS(N84-O84))</f>
        <v/>
      </c>
    </row>
    <row r="85">
      <c r="Q85" s="5">
        <f>IF(OR(N85="",O85="",P85=""),"",ABS(P85-N85)/ABS(N85-O85))</f>
        <v/>
      </c>
    </row>
    <row r="86">
      <c r="Q86" s="5">
        <f>IF(OR(N86="",O86="",P86=""),"",ABS(P86-N86)/ABS(N86-O86))</f>
        <v/>
      </c>
    </row>
    <row r="87">
      <c r="Q87" s="5">
        <f>IF(OR(N87="",O87="",P87=""),"",ABS(P87-N87)/ABS(N87-O87))</f>
        <v/>
      </c>
    </row>
    <row r="88">
      <c r="Q88" s="5">
        <f>IF(OR(N88="",O88="",P88=""),"",ABS(P88-N88)/ABS(N88-O88))</f>
        <v/>
      </c>
    </row>
    <row r="89">
      <c r="Q89" s="5">
        <f>IF(OR(N89="",O89="",P89=""),"",ABS(P89-N89)/ABS(N89-O89))</f>
        <v/>
      </c>
    </row>
    <row r="90">
      <c r="Q90" s="5">
        <f>IF(OR(N90="",O90="",P90=""),"",ABS(P90-N90)/ABS(N90-O90))</f>
        <v/>
      </c>
    </row>
    <row r="91">
      <c r="Q91" s="5">
        <f>IF(OR(N91="",O91="",P91=""),"",ABS(P91-N91)/ABS(N91-O91))</f>
        <v/>
      </c>
    </row>
    <row r="92">
      <c r="Q92" s="5">
        <f>IF(OR(N92="",O92="",P92=""),"",ABS(P92-N92)/ABS(N92-O92))</f>
        <v/>
      </c>
    </row>
    <row r="93">
      <c r="Q93" s="5">
        <f>IF(OR(N93="",O93="",P93=""),"",ABS(P93-N93)/ABS(N93-O93))</f>
        <v/>
      </c>
    </row>
    <row r="94">
      <c r="Q94" s="5">
        <f>IF(OR(N94="",O94="",P94=""),"",ABS(P94-N94)/ABS(N94-O94))</f>
        <v/>
      </c>
    </row>
    <row r="95">
      <c r="Q95" s="5">
        <f>IF(OR(N95="",O95="",P95=""),"",ABS(P95-N95)/ABS(N95-O95))</f>
        <v/>
      </c>
    </row>
    <row r="96">
      <c r="Q96" s="5">
        <f>IF(OR(N96="",O96="",P96=""),"",ABS(P96-N96)/ABS(N96-O96))</f>
        <v/>
      </c>
    </row>
    <row r="97">
      <c r="Q97" s="5">
        <f>IF(OR(N97="",O97="",P97=""),"",ABS(P97-N97)/ABS(N97-O97))</f>
        <v/>
      </c>
    </row>
    <row r="98">
      <c r="Q98" s="5">
        <f>IF(OR(N98="",O98="",P98=""),"",ABS(P98-N98)/ABS(N98-O98))</f>
        <v/>
      </c>
    </row>
    <row r="99">
      <c r="Q99" s="5">
        <f>IF(OR(N99="",O99="",P99=""),"",ABS(P99-N99)/ABS(N99-O99))</f>
        <v/>
      </c>
    </row>
    <row r="100">
      <c r="Q100" s="5">
        <f>IF(OR(N100="",O100="",P100=""),"",ABS(P100-N100)/ABS(N100-O100))</f>
        <v/>
      </c>
    </row>
    <row r="101">
      <c r="Q101" s="5">
        <f>IF(OR(N101="",O101="",P101=""),"",ABS(P101-N101)/ABS(N101-O101))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" t="inlineStr">
        <is>
          <t>Date</t>
        </is>
      </c>
      <c r="B1" s="4" t="inlineStr">
        <is>
          <t>Asset</t>
        </is>
      </c>
      <c r="C1" s="4" t="inlineStr">
        <is>
          <t>Class</t>
        </is>
      </c>
      <c r="D1" s="4" t="inlineStr">
        <is>
          <t>Mode</t>
        </is>
      </c>
      <c r="E1" s="4" t="inlineStr">
        <is>
          <t>Setup</t>
        </is>
      </c>
      <c r="F1" s="4" t="inlineStr">
        <is>
          <t>Entry</t>
        </is>
      </c>
      <c r="G1" s="4" t="inlineStr">
        <is>
          <t>Stop</t>
        </is>
      </c>
      <c r="H1" s="4" t="inlineStr">
        <is>
          <t>Target</t>
        </is>
      </c>
      <c r="I1" s="4" t="inlineStr">
        <is>
          <t>Qty</t>
        </is>
      </c>
      <c r="J1" s="4" t="inlineStr">
        <is>
          <t>Risk $</t>
        </is>
      </c>
      <c r="K1" s="4" t="inlineStr">
        <is>
          <t>Exit</t>
        </is>
      </c>
      <c r="L1" s="4" t="inlineStr">
        <is>
          <t>P/L $</t>
        </is>
      </c>
      <c r="M1" s="4" t="inlineStr">
        <is>
          <t>R</t>
        </is>
      </c>
      <c r="N1" s="4" t="inlineStr">
        <is>
          <t>Notes</t>
        </is>
      </c>
    </row>
    <row r="2">
      <c r="F2" s="3" t="n"/>
      <c r="G2" s="3" t="n"/>
      <c r="H2" s="3" t="n"/>
      <c r="J2" s="3">
        <f>IF(OR(F2="",G2="",I2=""),"",ABS(F2-G2)*I2)</f>
        <v/>
      </c>
      <c r="K2" s="3" t="n"/>
      <c r="L2" s="3">
        <f>IF(OR(K2="",F2="",I2=""),"",((K2-F2)*I2))</f>
        <v/>
      </c>
      <c r="M2">
        <f>IF(OR(L2="",J2=""),"",L2/J2)</f>
        <v/>
      </c>
    </row>
    <row r="3">
      <c r="F3" s="3" t="n"/>
      <c r="G3" s="3" t="n"/>
      <c r="H3" s="3" t="n"/>
      <c r="J3" s="3">
        <f>IF(OR(F3="",G3="",I3=""),"",ABS(F3-G3)*I3)</f>
        <v/>
      </c>
      <c r="K3" s="3" t="n"/>
      <c r="L3" s="3">
        <f>IF(OR(K3="",F3="",I3=""),"",((K3-F3)*I3))</f>
        <v/>
      </c>
      <c r="M3">
        <f>IF(OR(L3="",J3=""),"",L3/J3)</f>
        <v/>
      </c>
    </row>
    <row r="4">
      <c r="F4" s="3" t="n"/>
      <c r="G4" s="3" t="n"/>
      <c r="H4" s="3" t="n"/>
      <c r="J4" s="3">
        <f>IF(OR(F4="",G4="",I4=""),"",ABS(F4-G4)*I4)</f>
        <v/>
      </c>
      <c r="K4" s="3" t="n"/>
      <c r="L4" s="3">
        <f>IF(OR(K4="",F4="",I4=""),"",((K4-F4)*I4))</f>
        <v/>
      </c>
      <c r="M4">
        <f>IF(OR(L4="",J4=""),"",L4/J4)</f>
        <v/>
      </c>
    </row>
    <row r="5">
      <c r="F5" s="3" t="n"/>
      <c r="G5" s="3" t="n"/>
      <c r="H5" s="3" t="n"/>
      <c r="J5" s="3">
        <f>IF(OR(F5="",G5="",I5=""),"",ABS(F5-G5)*I5)</f>
        <v/>
      </c>
      <c r="K5" s="3" t="n"/>
      <c r="L5" s="3">
        <f>IF(OR(K5="",F5="",I5=""),"",((K5-F5)*I5))</f>
        <v/>
      </c>
      <c r="M5">
        <f>IF(OR(L5="",J5=""),"",L5/J5)</f>
        <v/>
      </c>
    </row>
    <row r="6">
      <c r="F6" s="3" t="n"/>
      <c r="G6" s="3" t="n"/>
      <c r="H6" s="3" t="n"/>
      <c r="J6" s="3">
        <f>IF(OR(F6="",G6="",I6=""),"",ABS(F6-G6)*I6)</f>
        <v/>
      </c>
      <c r="K6" s="3" t="n"/>
      <c r="L6" s="3">
        <f>IF(OR(K6="",F6="",I6=""),"",((K6-F6)*I6))</f>
        <v/>
      </c>
      <c r="M6">
        <f>IF(OR(L6="",J6=""),"",L6/J6)</f>
        <v/>
      </c>
    </row>
    <row r="7">
      <c r="F7" s="3" t="n"/>
      <c r="G7" s="3" t="n"/>
      <c r="H7" s="3" t="n"/>
      <c r="J7" s="3">
        <f>IF(OR(F7="",G7="",I7=""),"",ABS(F7-G7)*I7)</f>
        <v/>
      </c>
      <c r="K7" s="3" t="n"/>
      <c r="L7" s="3">
        <f>IF(OR(K7="",F7="",I7=""),"",((K7-F7)*I7))</f>
        <v/>
      </c>
      <c r="M7">
        <f>IF(OR(L7="",J7=""),"",L7/J7)</f>
        <v/>
      </c>
    </row>
    <row r="8">
      <c r="F8" s="3" t="n"/>
      <c r="G8" s="3" t="n"/>
      <c r="H8" s="3" t="n"/>
      <c r="J8" s="3">
        <f>IF(OR(F8="",G8="",I8=""),"",ABS(F8-G8)*I8)</f>
        <v/>
      </c>
      <c r="K8" s="3" t="n"/>
      <c r="L8" s="3">
        <f>IF(OR(K8="",F8="",I8=""),"",((K8-F8)*I8))</f>
        <v/>
      </c>
      <c r="M8">
        <f>IF(OR(L8="",J8=""),"",L8/J8)</f>
        <v/>
      </c>
    </row>
    <row r="9">
      <c r="F9" s="3" t="n"/>
      <c r="G9" s="3" t="n"/>
      <c r="H9" s="3" t="n"/>
      <c r="J9" s="3">
        <f>IF(OR(F9="",G9="",I9=""),"",ABS(F9-G9)*I9)</f>
        <v/>
      </c>
      <c r="K9" s="3" t="n"/>
      <c r="L9" s="3">
        <f>IF(OR(K9="",F9="",I9=""),"",((K9-F9)*I9))</f>
        <v/>
      </c>
      <c r="M9">
        <f>IF(OR(L9="",J9=""),"",L9/J9)</f>
        <v/>
      </c>
    </row>
    <row r="10">
      <c r="F10" s="3" t="n"/>
      <c r="G10" s="3" t="n"/>
      <c r="H10" s="3" t="n"/>
      <c r="J10" s="3">
        <f>IF(OR(F10="",G10="",I10=""),"",ABS(F10-G10)*I10)</f>
        <v/>
      </c>
      <c r="K10" s="3" t="n"/>
      <c r="L10" s="3">
        <f>IF(OR(K10="",F10="",I10=""),"",((K10-F10)*I10))</f>
        <v/>
      </c>
      <c r="M10">
        <f>IF(OR(L10="",J10=""),"",L10/J10)</f>
        <v/>
      </c>
    </row>
    <row r="11">
      <c r="F11" s="3" t="n"/>
      <c r="G11" s="3" t="n"/>
      <c r="H11" s="3" t="n"/>
      <c r="J11" s="3">
        <f>IF(OR(F11="",G11="",I11=""),"",ABS(F11-G11)*I11)</f>
        <v/>
      </c>
      <c r="K11" s="3" t="n"/>
      <c r="L11" s="3">
        <f>IF(OR(K11="",F11="",I11=""),"",((K11-F11)*I11))</f>
        <v/>
      </c>
      <c r="M11">
        <f>IF(OR(L11="",J11=""),"",L11/J11)</f>
        <v/>
      </c>
    </row>
    <row r="12">
      <c r="F12" s="3" t="n"/>
      <c r="G12" s="3" t="n"/>
      <c r="H12" s="3" t="n"/>
      <c r="J12" s="3">
        <f>IF(OR(F12="",G12="",I12=""),"",ABS(F12-G12)*I12)</f>
        <v/>
      </c>
      <c r="K12" s="3" t="n"/>
      <c r="L12" s="3">
        <f>IF(OR(K12="",F12="",I12=""),"",((K12-F12)*I12))</f>
        <v/>
      </c>
      <c r="M12">
        <f>IF(OR(L12="",J12=""),"",L12/J12)</f>
        <v/>
      </c>
    </row>
    <row r="13">
      <c r="F13" s="3" t="n"/>
      <c r="G13" s="3" t="n"/>
      <c r="H13" s="3" t="n"/>
      <c r="J13" s="3">
        <f>IF(OR(F13="",G13="",I13=""),"",ABS(F13-G13)*I13)</f>
        <v/>
      </c>
      <c r="K13" s="3" t="n"/>
      <c r="L13" s="3">
        <f>IF(OR(K13="",F13="",I13=""),"",((K13-F13)*I13))</f>
        <v/>
      </c>
      <c r="M13">
        <f>IF(OR(L13="",J13=""),"",L13/J13)</f>
        <v/>
      </c>
    </row>
    <row r="14">
      <c r="F14" s="3" t="n"/>
      <c r="G14" s="3" t="n"/>
      <c r="H14" s="3" t="n"/>
      <c r="J14" s="3">
        <f>IF(OR(F14="",G14="",I14=""),"",ABS(F14-G14)*I14)</f>
        <v/>
      </c>
      <c r="K14" s="3" t="n"/>
      <c r="L14" s="3">
        <f>IF(OR(K14="",F14="",I14=""),"",((K14-F14)*I14))</f>
        <v/>
      </c>
      <c r="M14">
        <f>IF(OR(L14="",J14=""),"",L14/J14)</f>
        <v/>
      </c>
    </row>
    <row r="15">
      <c r="F15" s="3" t="n"/>
      <c r="G15" s="3" t="n"/>
      <c r="H15" s="3" t="n"/>
      <c r="J15" s="3">
        <f>IF(OR(F15="",G15="",I15=""),"",ABS(F15-G15)*I15)</f>
        <v/>
      </c>
      <c r="K15" s="3" t="n"/>
      <c r="L15" s="3">
        <f>IF(OR(K15="",F15="",I15=""),"",((K15-F15)*I15))</f>
        <v/>
      </c>
      <c r="M15">
        <f>IF(OR(L15="",J15=""),"",L15/J15)</f>
        <v/>
      </c>
    </row>
    <row r="16">
      <c r="F16" s="3" t="n"/>
      <c r="G16" s="3" t="n"/>
      <c r="H16" s="3" t="n"/>
      <c r="J16" s="3">
        <f>IF(OR(F16="",G16="",I16=""),"",ABS(F16-G16)*I16)</f>
        <v/>
      </c>
      <c r="K16" s="3" t="n"/>
      <c r="L16" s="3">
        <f>IF(OR(K16="",F16="",I16=""),"",((K16-F16)*I16))</f>
        <v/>
      </c>
      <c r="M16">
        <f>IF(OR(L16="",J16=""),"",L16/J16)</f>
        <v/>
      </c>
    </row>
    <row r="17">
      <c r="F17" s="3" t="n"/>
      <c r="G17" s="3" t="n"/>
      <c r="H17" s="3" t="n"/>
      <c r="J17" s="3">
        <f>IF(OR(F17="",G17="",I17=""),"",ABS(F17-G17)*I17)</f>
        <v/>
      </c>
      <c r="K17" s="3" t="n"/>
      <c r="L17" s="3">
        <f>IF(OR(K17="",F17="",I17=""),"",((K17-F17)*I17))</f>
        <v/>
      </c>
      <c r="M17">
        <f>IF(OR(L17="",J17=""),"",L17/J17)</f>
        <v/>
      </c>
    </row>
    <row r="18">
      <c r="F18" s="3" t="n"/>
      <c r="G18" s="3" t="n"/>
      <c r="H18" s="3" t="n"/>
      <c r="J18" s="3">
        <f>IF(OR(F18="",G18="",I18=""),"",ABS(F18-G18)*I18)</f>
        <v/>
      </c>
      <c r="K18" s="3" t="n"/>
      <c r="L18" s="3">
        <f>IF(OR(K18="",F18="",I18=""),"",((K18-F18)*I18))</f>
        <v/>
      </c>
      <c r="M18">
        <f>IF(OR(L18="",J18=""),"",L18/J18)</f>
        <v/>
      </c>
    </row>
    <row r="19">
      <c r="F19" s="3" t="n"/>
      <c r="G19" s="3" t="n"/>
      <c r="H19" s="3" t="n"/>
      <c r="J19" s="3">
        <f>IF(OR(F19="",G19="",I19=""),"",ABS(F19-G19)*I19)</f>
        <v/>
      </c>
      <c r="K19" s="3" t="n"/>
      <c r="L19" s="3">
        <f>IF(OR(K19="",F19="",I19=""),"",((K19-F19)*I19))</f>
        <v/>
      </c>
      <c r="M19">
        <f>IF(OR(L19="",J19=""),"",L19/J19)</f>
        <v/>
      </c>
    </row>
    <row r="20">
      <c r="F20" s="3" t="n"/>
      <c r="G20" s="3" t="n"/>
      <c r="H20" s="3" t="n"/>
      <c r="J20" s="3">
        <f>IF(OR(F20="",G20="",I20=""),"",ABS(F20-G20)*I20)</f>
        <v/>
      </c>
      <c r="K20" s="3" t="n"/>
      <c r="L20" s="3">
        <f>IF(OR(K20="",F20="",I20=""),"",((K20-F20)*I20))</f>
        <v/>
      </c>
      <c r="M20">
        <f>IF(OR(L20="",J20=""),"",L20/J20)</f>
        <v/>
      </c>
    </row>
    <row r="21">
      <c r="F21" s="3" t="n"/>
      <c r="G21" s="3" t="n"/>
      <c r="H21" s="3" t="n"/>
      <c r="J21" s="3">
        <f>IF(OR(F21="",G21="",I21=""),"",ABS(F21-G21)*I21)</f>
        <v/>
      </c>
      <c r="K21" s="3" t="n"/>
      <c r="L21" s="3">
        <f>IF(OR(K21="",F21="",I21=""),"",((K21-F21)*I21))</f>
        <v/>
      </c>
      <c r="M21">
        <f>IF(OR(L21="",J21=""),"",L21/J21)</f>
        <v/>
      </c>
    </row>
    <row r="22">
      <c r="F22" s="3" t="n"/>
      <c r="G22" s="3" t="n"/>
      <c r="H22" s="3" t="n"/>
      <c r="J22" s="3">
        <f>IF(OR(F22="",G22="",I22=""),"",ABS(F22-G22)*I22)</f>
        <v/>
      </c>
      <c r="K22" s="3" t="n"/>
      <c r="L22" s="3">
        <f>IF(OR(K22="",F22="",I22=""),"",((K22-F22)*I22))</f>
        <v/>
      </c>
      <c r="M22">
        <f>IF(OR(L22="",J22=""),"",L22/J22)</f>
        <v/>
      </c>
    </row>
    <row r="23">
      <c r="F23" s="3" t="n"/>
      <c r="G23" s="3" t="n"/>
      <c r="H23" s="3" t="n"/>
      <c r="J23" s="3">
        <f>IF(OR(F23="",G23="",I23=""),"",ABS(F23-G23)*I23)</f>
        <v/>
      </c>
      <c r="K23" s="3" t="n"/>
      <c r="L23" s="3">
        <f>IF(OR(K23="",F23="",I23=""),"",((K23-F23)*I23))</f>
        <v/>
      </c>
      <c r="M23">
        <f>IF(OR(L23="",J23=""),"",L23/J23)</f>
        <v/>
      </c>
    </row>
    <row r="24">
      <c r="F24" s="3" t="n"/>
      <c r="G24" s="3" t="n"/>
      <c r="H24" s="3" t="n"/>
      <c r="J24" s="3">
        <f>IF(OR(F24="",G24="",I24=""),"",ABS(F24-G24)*I24)</f>
        <v/>
      </c>
      <c r="K24" s="3" t="n"/>
      <c r="L24" s="3">
        <f>IF(OR(K24="",F24="",I24=""),"",((K24-F24)*I24))</f>
        <v/>
      </c>
      <c r="M24">
        <f>IF(OR(L24="",J24=""),"",L24/J24)</f>
        <v/>
      </c>
    </row>
    <row r="25">
      <c r="F25" s="3" t="n"/>
      <c r="G25" s="3" t="n"/>
      <c r="H25" s="3" t="n"/>
      <c r="J25" s="3">
        <f>IF(OR(F25="",G25="",I25=""),"",ABS(F25-G25)*I25)</f>
        <v/>
      </c>
      <c r="K25" s="3" t="n"/>
      <c r="L25" s="3">
        <f>IF(OR(K25="",F25="",I25=""),"",((K25-F25)*I25))</f>
        <v/>
      </c>
      <c r="M25">
        <f>IF(OR(L25="",J25=""),"",L25/J25)</f>
        <v/>
      </c>
    </row>
    <row r="26">
      <c r="F26" s="3" t="n"/>
      <c r="G26" s="3" t="n"/>
      <c r="H26" s="3" t="n"/>
      <c r="J26" s="3">
        <f>IF(OR(F26="",G26="",I26=""),"",ABS(F26-G26)*I26)</f>
        <v/>
      </c>
      <c r="K26" s="3" t="n"/>
      <c r="L26" s="3">
        <f>IF(OR(K26="",F26="",I26=""),"",((K26-F26)*I26))</f>
        <v/>
      </c>
      <c r="M26">
        <f>IF(OR(L26="",J26=""),"",L26/J26)</f>
        <v/>
      </c>
    </row>
    <row r="27">
      <c r="F27" s="3" t="n"/>
      <c r="G27" s="3" t="n"/>
      <c r="H27" s="3" t="n"/>
      <c r="J27" s="3">
        <f>IF(OR(F27="",G27="",I27=""),"",ABS(F27-G27)*I27)</f>
        <v/>
      </c>
      <c r="K27" s="3" t="n"/>
      <c r="L27" s="3">
        <f>IF(OR(K27="",F27="",I27=""),"",((K27-F27)*I27))</f>
        <v/>
      </c>
      <c r="M27">
        <f>IF(OR(L27="",J27=""),"",L27/J27)</f>
        <v/>
      </c>
    </row>
    <row r="28">
      <c r="F28" s="3" t="n"/>
      <c r="G28" s="3" t="n"/>
      <c r="H28" s="3" t="n"/>
      <c r="J28" s="3">
        <f>IF(OR(F28="",G28="",I28=""),"",ABS(F28-G28)*I28)</f>
        <v/>
      </c>
      <c r="K28" s="3" t="n"/>
      <c r="L28" s="3">
        <f>IF(OR(K28="",F28="",I28=""),"",((K28-F28)*I28))</f>
        <v/>
      </c>
      <c r="M28">
        <f>IF(OR(L28="",J28=""),"",L28/J28)</f>
        <v/>
      </c>
    </row>
    <row r="29">
      <c r="F29" s="3" t="n"/>
      <c r="G29" s="3" t="n"/>
      <c r="H29" s="3" t="n"/>
      <c r="J29" s="3">
        <f>IF(OR(F29="",G29="",I29=""),"",ABS(F29-G29)*I29)</f>
        <v/>
      </c>
      <c r="K29" s="3" t="n"/>
      <c r="L29" s="3">
        <f>IF(OR(K29="",F29="",I29=""),"",((K29-F29)*I29))</f>
        <v/>
      </c>
      <c r="M29">
        <f>IF(OR(L29="",J29=""),"",L29/J29)</f>
        <v/>
      </c>
    </row>
    <row r="30">
      <c r="F30" s="3" t="n"/>
      <c r="G30" s="3" t="n"/>
      <c r="H30" s="3" t="n"/>
      <c r="J30" s="3">
        <f>IF(OR(F30="",G30="",I30=""),"",ABS(F30-G30)*I30)</f>
        <v/>
      </c>
      <c r="K30" s="3" t="n"/>
      <c r="L30" s="3">
        <f>IF(OR(K30="",F30="",I30=""),"",((K30-F30)*I30))</f>
        <v/>
      </c>
      <c r="M30">
        <f>IF(OR(L30="",J30=""),"",L30/J30)</f>
        <v/>
      </c>
    </row>
    <row r="31">
      <c r="F31" s="3" t="n"/>
      <c r="G31" s="3" t="n"/>
      <c r="H31" s="3" t="n"/>
      <c r="J31" s="3">
        <f>IF(OR(F31="",G31="",I31=""),"",ABS(F31-G31)*I31)</f>
        <v/>
      </c>
      <c r="K31" s="3" t="n"/>
      <c r="L31" s="3">
        <f>IF(OR(K31="",F31="",I31=""),"",((K31-F31)*I31))</f>
        <v/>
      </c>
      <c r="M31">
        <f>IF(OR(L31="",J31=""),"",L31/J31)</f>
        <v/>
      </c>
    </row>
    <row r="32">
      <c r="F32" s="3" t="n"/>
      <c r="G32" s="3" t="n"/>
      <c r="H32" s="3" t="n"/>
      <c r="J32" s="3">
        <f>IF(OR(F32="",G32="",I32=""),"",ABS(F32-G32)*I32)</f>
        <v/>
      </c>
      <c r="K32" s="3" t="n"/>
      <c r="L32" s="3">
        <f>IF(OR(K32="",F32="",I32=""),"",((K32-F32)*I32))</f>
        <v/>
      </c>
      <c r="M32">
        <f>IF(OR(L32="",J32=""),"",L32/J32)</f>
        <v/>
      </c>
    </row>
    <row r="33">
      <c r="F33" s="3" t="n"/>
      <c r="G33" s="3" t="n"/>
      <c r="H33" s="3" t="n"/>
      <c r="J33" s="3">
        <f>IF(OR(F33="",G33="",I33=""),"",ABS(F33-G33)*I33)</f>
        <v/>
      </c>
      <c r="K33" s="3" t="n"/>
      <c r="L33" s="3">
        <f>IF(OR(K33="",F33="",I33=""),"",((K33-F33)*I33))</f>
        <v/>
      </c>
      <c r="M33">
        <f>IF(OR(L33="",J33=""),"",L33/J33)</f>
        <v/>
      </c>
    </row>
    <row r="34">
      <c r="F34" s="3" t="n"/>
      <c r="G34" s="3" t="n"/>
      <c r="H34" s="3" t="n"/>
      <c r="J34" s="3">
        <f>IF(OR(F34="",G34="",I34=""),"",ABS(F34-G34)*I34)</f>
        <v/>
      </c>
      <c r="K34" s="3" t="n"/>
      <c r="L34" s="3">
        <f>IF(OR(K34="",F34="",I34=""),"",((K34-F34)*I34))</f>
        <v/>
      </c>
      <c r="M34">
        <f>IF(OR(L34="",J34=""),"",L34/J34)</f>
        <v/>
      </c>
    </row>
    <row r="35">
      <c r="F35" s="3" t="n"/>
      <c r="G35" s="3" t="n"/>
      <c r="H35" s="3" t="n"/>
      <c r="J35" s="3">
        <f>IF(OR(F35="",G35="",I35=""),"",ABS(F35-G35)*I35)</f>
        <v/>
      </c>
      <c r="K35" s="3" t="n"/>
      <c r="L35" s="3">
        <f>IF(OR(K35="",F35="",I35=""),"",((K35-F35)*I35))</f>
        <v/>
      </c>
      <c r="M35">
        <f>IF(OR(L35="",J35=""),"",L35/J35)</f>
        <v/>
      </c>
    </row>
    <row r="36">
      <c r="F36" s="3" t="n"/>
      <c r="G36" s="3" t="n"/>
      <c r="H36" s="3" t="n"/>
      <c r="J36" s="3">
        <f>IF(OR(F36="",G36="",I36=""),"",ABS(F36-G36)*I36)</f>
        <v/>
      </c>
      <c r="K36" s="3" t="n"/>
      <c r="L36" s="3">
        <f>IF(OR(K36="",F36="",I36=""),"",((K36-F36)*I36))</f>
        <v/>
      </c>
      <c r="M36">
        <f>IF(OR(L36="",J36=""),"",L36/J36)</f>
        <v/>
      </c>
    </row>
    <row r="37">
      <c r="F37" s="3" t="n"/>
      <c r="G37" s="3" t="n"/>
      <c r="H37" s="3" t="n"/>
      <c r="J37" s="3">
        <f>IF(OR(F37="",G37="",I37=""),"",ABS(F37-G37)*I37)</f>
        <v/>
      </c>
      <c r="K37" s="3" t="n"/>
      <c r="L37" s="3">
        <f>IF(OR(K37="",F37="",I37=""),"",((K37-F37)*I37))</f>
        <v/>
      </c>
      <c r="M37">
        <f>IF(OR(L37="",J37=""),"",L37/J37)</f>
        <v/>
      </c>
    </row>
    <row r="38">
      <c r="F38" s="3" t="n"/>
      <c r="G38" s="3" t="n"/>
      <c r="H38" s="3" t="n"/>
      <c r="J38" s="3">
        <f>IF(OR(F38="",G38="",I38=""),"",ABS(F38-G38)*I38)</f>
        <v/>
      </c>
      <c r="K38" s="3" t="n"/>
      <c r="L38" s="3">
        <f>IF(OR(K38="",F38="",I38=""),"",((K38-F38)*I38))</f>
        <v/>
      </c>
      <c r="M38">
        <f>IF(OR(L38="",J38=""),"",L38/J38)</f>
        <v/>
      </c>
    </row>
    <row r="39">
      <c r="F39" s="3" t="n"/>
      <c r="G39" s="3" t="n"/>
      <c r="H39" s="3" t="n"/>
      <c r="J39" s="3">
        <f>IF(OR(F39="",G39="",I39=""),"",ABS(F39-G39)*I39)</f>
        <v/>
      </c>
      <c r="K39" s="3" t="n"/>
      <c r="L39" s="3">
        <f>IF(OR(K39="",F39="",I39=""),"",((K39-F39)*I39))</f>
        <v/>
      </c>
      <c r="M39">
        <f>IF(OR(L39="",J39=""),"",L39/J39)</f>
        <v/>
      </c>
    </row>
    <row r="40">
      <c r="F40" s="3" t="n"/>
      <c r="G40" s="3" t="n"/>
      <c r="H40" s="3" t="n"/>
      <c r="J40" s="3">
        <f>IF(OR(F40="",G40="",I40=""),"",ABS(F40-G40)*I40)</f>
        <v/>
      </c>
      <c r="K40" s="3" t="n"/>
      <c r="L40" s="3">
        <f>IF(OR(K40="",F40="",I40=""),"",((K40-F40)*I40))</f>
        <v/>
      </c>
      <c r="M40">
        <f>IF(OR(L40="",J40=""),"",L40/J40)</f>
        <v/>
      </c>
    </row>
    <row r="41">
      <c r="F41" s="3" t="n"/>
      <c r="G41" s="3" t="n"/>
      <c r="H41" s="3" t="n"/>
      <c r="J41" s="3">
        <f>IF(OR(F41="",G41="",I41=""),"",ABS(F41-G41)*I41)</f>
        <v/>
      </c>
      <c r="K41" s="3" t="n"/>
      <c r="L41" s="3">
        <f>IF(OR(K41="",F41="",I41=""),"",((K41-F41)*I41))</f>
        <v/>
      </c>
      <c r="M41">
        <f>IF(OR(L41="",J41=""),"",L41/J41)</f>
        <v/>
      </c>
    </row>
    <row r="42">
      <c r="F42" s="3" t="n"/>
      <c r="G42" s="3" t="n"/>
      <c r="H42" s="3" t="n"/>
      <c r="J42" s="3">
        <f>IF(OR(F42="",G42="",I42=""),"",ABS(F42-G42)*I42)</f>
        <v/>
      </c>
      <c r="K42" s="3" t="n"/>
      <c r="L42" s="3">
        <f>IF(OR(K42="",F42="",I42=""),"",((K42-F42)*I42))</f>
        <v/>
      </c>
      <c r="M42">
        <f>IF(OR(L42="",J42=""),"",L42/J42)</f>
        <v/>
      </c>
    </row>
    <row r="43">
      <c r="F43" s="3" t="n"/>
      <c r="G43" s="3" t="n"/>
      <c r="H43" s="3" t="n"/>
      <c r="J43" s="3">
        <f>IF(OR(F43="",G43="",I43=""),"",ABS(F43-G43)*I43)</f>
        <v/>
      </c>
      <c r="K43" s="3" t="n"/>
      <c r="L43" s="3">
        <f>IF(OR(K43="",F43="",I43=""),"",((K43-F43)*I43))</f>
        <v/>
      </c>
      <c r="M43">
        <f>IF(OR(L43="",J43=""),"",L43/J43)</f>
        <v/>
      </c>
    </row>
    <row r="44">
      <c r="F44" s="3" t="n"/>
      <c r="G44" s="3" t="n"/>
      <c r="H44" s="3" t="n"/>
      <c r="J44" s="3">
        <f>IF(OR(F44="",G44="",I44=""),"",ABS(F44-G44)*I44)</f>
        <v/>
      </c>
      <c r="K44" s="3" t="n"/>
      <c r="L44" s="3">
        <f>IF(OR(K44="",F44="",I44=""),"",((K44-F44)*I44))</f>
        <v/>
      </c>
      <c r="M44">
        <f>IF(OR(L44="",J44=""),"",L44/J44)</f>
        <v/>
      </c>
    </row>
    <row r="45">
      <c r="F45" s="3" t="n"/>
      <c r="G45" s="3" t="n"/>
      <c r="H45" s="3" t="n"/>
      <c r="J45" s="3">
        <f>IF(OR(F45="",G45="",I45=""),"",ABS(F45-G45)*I45)</f>
        <v/>
      </c>
      <c r="K45" s="3" t="n"/>
      <c r="L45" s="3">
        <f>IF(OR(K45="",F45="",I45=""),"",((K45-F45)*I45))</f>
        <v/>
      </c>
      <c r="M45">
        <f>IF(OR(L45="",J45=""),"",L45/J45)</f>
        <v/>
      </c>
    </row>
    <row r="46">
      <c r="F46" s="3" t="n"/>
      <c r="G46" s="3" t="n"/>
      <c r="H46" s="3" t="n"/>
      <c r="J46" s="3">
        <f>IF(OR(F46="",G46="",I46=""),"",ABS(F46-G46)*I46)</f>
        <v/>
      </c>
      <c r="K46" s="3" t="n"/>
      <c r="L46" s="3">
        <f>IF(OR(K46="",F46="",I46=""),"",((K46-F46)*I46))</f>
        <v/>
      </c>
      <c r="M46">
        <f>IF(OR(L46="",J46=""),"",L46/J46)</f>
        <v/>
      </c>
    </row>
    <row r="47">
      <c r="F47" s="3" t="n"/>
      <c r="G47" s="3" t="n"/>
      <c r="H47" s="3" t="n"/>
      <c r="J47" s="3">
        <f>IF(OR(F47="",G47="",I47=""),"",ABS(F47-G47)*I47)</f>
        <v/>
      </c>
      <c r="K47" s="3" t="n"/>
      <c r="L47" s="3">
        <f>IF(OR(K47="",F47="",I47=""),"",((K47-F47)*I47))</f>
        <v/>
      </c>
      <c r="M47">
        <f>IF(OR(L47="",J47=""),"",L47/J47)</f>
        <v/>
      </c>
    </row>
    <row r="48">
      <c r="F48" s="3" t="n"/>
      <c r="G48" s="3" t="n"/>
      <c r="H48" s="3" t="n"/>
      <c r="J48" s="3">
        <f>IF(OR(F48="",G48="",I48=""),"",ABS(F48-G48)*I48)</f>
        <v/>
      </c>
      <c r="K48" s="3" t="n"/>
      <c r="L48" s="3">
        <f>IF(OR(K48="",F48="",I48=""),"",((K48-F48)*I48))</f>
        <v/>
      </c>
      <c r="M48">
        <f>IF(OR(L48="",J48=""),"",L48/J48)</f>
        <v/>
      </c>
    </row>
    <row r="49">
      <c r="F49" s="3" t="n"/>
      <c r="G49" s="3" t="n"/>
      <c r="H49" s="3" t="n"/>
      <c r="J49" s="3">
        <f>IF(OR(F49="",G49="",I49=""),"",ABS(F49-G49)*I49)</f>
        <v/>
      </c>
      <c r="K49" s="3" t="n"/>
      <c r="L49" s="3">
        <f>IF(OR(K49="",F49="",I49=""),"",((K49-F49)*I49))</f>
        <v/>
      </c>
      <c r="M49">
        <f>IF(OR(L49="",J49=""),"",L49/J49)</f>
        <v/>
      </c>
    </row>
    <row r="50">
      <c r="F50" s="3" t="n"/>
      <c r="G50" s="3" t="n"/>
      <c r="H50" s="3" t="n"/>
      <c r="J50" s="3">
        <f>IF(OR(F50="",G50="",I50=""),"",ABS(F50-G50)*I50)</f>
        <v/>
      </c>
      <c r="K50" s="3" t="n"/>
      <c r="L50" s="3">
        <f>IF(OR(K50="",F50="",I50=""),"",((K50-F50)*I50))</f>
        <v/>
      </c>
      <c r="M50">
        <f>IF(OR(L50="",J50=""),"",L50/J50)</f>
        <v/>
      </c>
    </row>
    <row r="51">
      <c r="F51" s="3" t="n"/>
      <c r="G51" s="3" t="n"/>
      <c r="H51" s="3" t="n"/>
      <c r="J51" s="3">
        <f>IF(OR(F51="",G51="",I51=""),"",ABS(F51-G51)*I51)</f>
        <v/>
      </c>
      <c r="K51" s="3" t="n"/>
      <c r="L51" s="3">
        <f>IF(OR(K51="",F51="",I51=""),"",((K51-F51)*I51))</f>
        <v/>
      </c>
      <c r="M51">
        <f>IF(OR(L51="",J51=""),"",L51/J51)</f>
        <v/>
      </c>
    </row>
    <row r="52">
      <c r="F52" s="3" t="n"/>
      <c r="G52" s="3" t="n"/>
      <c r="H52" s="3" t="n"/>
      <c r="J52" s="3">
        <f>IF(OR(F52="",G52="",I52=""),"",ABS(F52-G52)*I52)</f>
        <v/>
      </c>
      <c r="K52" s="3" t="n"/>
      <c r="L52" s="3">
        <f>IF(OR(K52="",F52="",I52=""),"",((K52-F52)*I52))</f>
        <v/>
      </c>
      <c r="M52">
        <f>IF(OR(L52="",J52=""),"",L52/J52)</f>
        <v/>
      </c>
    </row>
    <row r="53">
      <c r="F53" s="3" t="n"/>
      <c r="G53" s="3" t="n"/>
      <c r="H53" s="3" t="n"/>
      <c r="J53" s="3">
        <f>IF(OR(F53="",G53="",I53=""),"",ABS(F53-G53)*I53)</f>
        <v/>
      </c>
      <c r="K53" s="3" t="n"/>
      <c r="L53" s="3">
        <f>IF(OR(K53="",F53="",I53=""),"",((K53-F53)*I53))</f>
        <v/>
      </c>
      <c r="M53">
        <f>IF(OR(L53="",J53=""),"",L53/J53)</f>
        <v/>
      </c>
    </row>
    <row r="54">
      <c r="F54" s="3" t="n"/>
      <c r="G54" s="3" t="n"/>
      <c r="H54" s="3" t="n"/>
      <c r="J54" s="3">
        <f>IF(OR(F54="",G54="",I54=""),"",ABS(F54-G54)*I54)</f>
        <v/>
      </c>
      <c r="K54" s="3" t="n"/>
      <c r="L54" s="3">
        <f>IF(OR(K54="",F54="",I54=""),"",((K54-F54)*I54))</f>
        <v/>
      </c>
      <c r="M54">
        <f>IF(OR(L54="",J54=""),"",L54/J54)</f>
        <v/>
      </c>
    </row>
    <row r="55">
      <c r="F55" s="3" t="n"/>
      <c r="G55" s="3" t="n"/>
      <c r="H55" s="3" t="n"/>
      <c r="J55" s="3">
        <f>IF(OR(F55="",G55="",I55=""),"",ABS(F55-G55)*I55)</f>
        <v/>
      </c>
      <c r="K55" s="3" t="n"/>
      <c r="L55" s="3">
        <f>IF(OR(K55="",F55="",I55=""),"",((K55-F55)*I55))</f>
        <v/>
      </c>
      <c r="M55">
        <f>IF(OR(L55="",J55=""),"",L55/J55)</f>
        <v/>
      </c>
    </row>
    <row r="56">
      <c r="F56" s="3" t="n"/>
      <c r="G56" s="3" t="n"/>
      <c r="H56" s="3" t="n"/>
      <c r="J56" s="3">
        <f>IF(OR(F56="",G56="",I56=""),"",ABS(F56-G56)*I56)</f>
        <v/>
      </c>
      <c r="K56" s="3" t="n"/>
      <c r="L56" s="3">
        <f>IF(OR(K56="",F56="",I56=""),"",((K56-F56)*I56))</f>
        <v/>
      </c>
      <c r="M56">
        <f>IF(OR(L56="",J56=""),"",L56/J56)</f>
        <v/>
      </c>
    </row>
    <row r="57">
      <c r="F57" s="3" t="n"/>
      <c r="G57" s="3" t="n"/>
      <c r="H57" s="3" t="n"/>
      <c r="J57" s="3">
        <f>IF(OR(F57="",G57="",I57=""),"",ABS(F57-G57)*I57)</f>
        <v/>
      </c>
      <c r="K57" s="3" t="n"/>
      <c r="L57" s="3">
        <f>IF(OR(K57="",F57="",I57=""),"",((K57-F57)*I57))</f>
        <v/>
      </c>
      <c r="M57">
        <f>IF(OR(L57="",J57=""),"",L57/J57)</f>
        <v/>
      </c>
    </row>
    <row r="58">
      <c r="F58" s="3" t="n"/>
      <c r="G58" s="3" t="n"/>
      <c r="H58" s="3" t="n"/>
      <c r="J58" s="3">
        <f>IF(OR(F58="",G58="",I58=""),"",ABS(F58-G58)*I58)</f>
        <v/>
      </c>
      <c r="K58" s="3" t="n"/>
      <c r="L58" s="3">
        <f>IF(OR(K58="",F58="",I58=""),"",((K58-F58)*I58))</f>
        <v/>
      </c>
      <c r="M58">
        <f>IF(OR(L58="",J58=""),"",L58/J58)</f>
        <v/>
      </c>
    </row>
    <row r="59">
      <c r="F59" s="3" t="n"/>
      <c r="G59" s="3" t="n"/>
      <c r="H59" s="3" t="n"/>
      <c r="J59" s="3">
        <f>IF(OR(F59="",G59="",I59=""),"",ABS(F59-G59)*I59)</f>
        <v/>
      </c>
      <c r="K59" s="3" t="n"/>
      <c r="L59" s="3">
        <f>IF(OR(K59="",F59="",I59=""),"",((K59-F59)*I59))</f>
        <v/>
      </c>
      <c r="M59">
        <f>IF(OR(L59="",J59=""),"",L59/J59)</f>
        <v/>
      </c>
    </row>
    <row r="60">
      <c r="F60" s="3" t="n"/>
      <c r="G60" s="3" t="n"/>
      <c r="H60" s="3" t="n"/>
      <c r="J60" s="3">
        <f>IF(OR(F60="",G60="",I60=""),"",ABS(F60-G60)*I60)</f>
        <v/>
      </c>
      <c r="K60" s="3" t="n"/>
      <c r="L60" s="3">
        <f>IF(OR(K60="",F60="",I60=""),"",((K60-F60)*I60))</f>
        <v/>
      </c>
      <c r="M60">
        <f>IF(OR(L60="",J60=""),"",L60/J60)</f>
        <v/>
      </c>
    </row>
    <row r="61">
      <c r="F61" s="3" t="n"/>
      <c r="G61" s="3" t="n"/>
      <c r="H61" s="3" t="n"/>
      <c r="J61" s="3">
        <f>IF(OR(F61="",G61="",I61=""),"",ABS(F61-G61)*I61)</f>
        <v/>
      </c>
      <c r="K61" s="3" t="n"/>
      <c r="L61" s="3">
        <f>IF(OR(K61="",F61="",I61=""),"",((K61-F61)*I61))</f>
        <v/>
      </c>
      <c r="M61">
        <f>IF(OR(L61="",J61=""),"",L61/J61)</f>
        <v/>
      </c>
    </row>
    <row r="62">
      <c r="F62" s="3" t="n"/>
      <c r="G62" s="3" t="n"/>
      <c r="H62" s="3" t="n"/>
      <c r="J62" s="3">
        <f>IF(OR(F62="",G62="",I62=""),"",ABS(F62-G62)*I62)</f>
        <v/>
      </c>
      <c r="K62" s="3" t="n"/>
      <c r="L62" s="3">
        <f>IF(OR(K62="",F62="",I62=""),"",((K62-F62)*I62))</f>
        <v/>
      </c>
      <c r="M62">
        <f>IF(OR(L62="",J62=""),"",L62/J62)</f>
        <v/>
      </c>
    </row>
    <row r="63">
      <c r="F63" s="3" t="n"/>
      <c r="G63" s="3" t="n"/>
      <c r="H63" s="3" t="n"/>
      <c r="J63" s="3">
        <f>IF(OR(F63="",G63="",I63=""),"",ABS(F63-G63)*I63)</f>
        <v/>
      </c>
      <c r="K63" s="3" t="n"/>
      <c r="L63" s="3">
        <f>IF(OR(K63="",F63="",I63=""),"",((K63-F63)*I63))</f>
        <v/>
      </c>
      <c r="M63">
        <f>IF(OR(L63="",J63=""),"",L63/J63)</f>
        <v/>
      </c>
    </row>
    <row r="64">
      <c r="F64" s="3" t="n"/>
      <c r="G64" s="3" t="n"/>
      <c r="H64" s="3" t="n"/>
      <c r="J64" s="3">
        <f>IF(OR(F64="",G64="",I64=""),"",ABS(F64-G64)*I64)</f>
        <v/>
      </c>
      <c r="K64" s="3" t="n"/>
      <c r="L64" s="3">
        <f>IF(OR(K64="",F64="",I64=""),"",((K64-F64)*I64))</f>
        <v/>
      </c>
      <c r="M64">
        <f>IF(OR(L64="",J64=""),"",L64/J64)</f>
        <v/>
      </c>
    </row>
    <row r="65">
      <c r="F65" s="3" t="n"/>
      <c r="G65" s="3" t="n"/>
      <c r="H65" s="3" t="n"/>
      <c r="J65" s="3">
        <f>IF(OR(F65="",G65="",I65=""),"",ABS(F65-G65)*I65)</f>
        <v/>
      </c>
      <c r="K65" s="3" t="n"/>
      <c r="L65" s="3">
        <f>IF(OR(K65="",F65="",I65=""),"",((K65-F65)*I65))</f>
        <v/>
      </c>
      <c r="M65">
        <f>IF(OR(L65="",J65=""),"",L65/J65)</f>
        <v/>
      </c>
    </row>
    <row r="66">
      <c r="F66" s="3" t="n"/>
      <c r="G66" s="3" t="n"/>
      <c r="H66" s="3" t="n"/>
      <c r="J66" s="3">
        <f>IF(OR(F66="",G66="",I66=""),"",ABS(F66-G66)*I66)</f>
        <v/>
      </c>
      <c r="K66" s="3" t="n"/>
      <c r="L66" s="3">
        <f>IF(OR(K66="",F66="",I66=""),"",((K66-F66)*I66))</f>
        <v/>
      </c>
      <c r="M66">
        <f>IF(OR(L66="",J66=""),"",L66/J66)</f>
        <v/>
      </c>
    </row>
    <row r="67">
      <c r="F67" s="3" t="n"/>
      <c r="G67" s="3" t="n"/>
      <c r="H67" s="3" t="n"/>
      <c r="J67" s="3">
        <f>IF(OR(F67="",G67="",I67=""),"",ABS(F67-G67)*I67)</f>
        <v/>
      </c>
      <c r="K67" s="3" t="n"/>
      <c r="L67" s="3">
        <f>IF(OR(K67="",F67="",I67=""),"",((K67-F67)*I67))</f>
        <v/>
      </c>
      <c r="M67">
        <f>IF(OR(L67="",J67=""),"",L67/J67)</f>
        <v/>
      </c>
    </row>
    <row r="68">
      <c r="F68" s="3" t="n"/>
      <c r="G68" s="3" t="n"/>
      <c r="H68" s="3" t="n"/>
      <c r="J68" s="3">
        <f>IF(OR(F68="",G68="",I68=""),"",ABS(F68-G68)*I68)</f>
        <v/>
      </c>
      <c r="K68" s="3" t="n"/>
      <c r="L68" s="3">
        <f>IF(OR(K68="",F68="",I68=""),"",((K68-F68)*I68))</f>
        <v/>
      </c>
      <c r="M68">
        <f>IF(OR(L68="",J68=""),"",L68/J68)</f>
        <v/>
      </c>
    </row>
    <row r="69">
      <c r="F69" s="3" t="n"/>
      <c r="G69" s="3" t="n"/>
      <c r="H69" s="3" t="n"/>
      <c r="J69" s="3">
        <f>IF(OR(F69="",G69="",I69=""),"",ABS(F69-G69)*I69)</f>
        <v/>
      </c>
      <c r="K69" s="3" t="n"/>
      <c r="L69" s="3">
        <f>IF(OR(K69="",F69="",I69=""),"",((K69-F69)*I69))</f>
        <v/>
      </c>
      <c r="M69">
        <f>IF(OR(L69="",J69=""),"",L69/J69)</f>
        <v/>
      </c>
    </row>
    <row r="70">
      <c r="F70" s="3" t="n"/>
      <c r="G70" s="3" t="n"/>
      <c r="H70" s="3" t="n"/>
      <c r="J70" s="3">
        <f>IF(OR(F70="",G70="",I70=""),"",ABS(F70-G70)*I70)</f>
        <v/>
      </c>
      <c r="K70" s="3" t="n"/>
      <c r="L70" s="3">
        <f>IF(OR(K70="",F70="",I70=""),"",((K70-F70)*I70))</f>
        <v/>
      </c>
      <c r="M70">
        <f>IF(OR(L70="",J70=""),"",L70/J70)</f>
        <v/>
      </c>
    </row>
    <row r="71">
      <c r="F71" s="3" t="n"/>
      <c r="G71" s="3" t="n"/>
      <c r="H71" s="3" t="n"/>
      <c r="J71" s="3">
        <f>IF(OR(F71="",G71="",I71=""),"",ABS(F71-G71)*I71)</f>
        <v/>
      </c>
      <c r="K71" s="3" t="n"/>
      <c r="L71" s="3">
        <f>IF(OR(K71="",F71="",I71=""),"",((K71-F71)*I71))</f>
        <v/>
      </c>
      <c r="M71">
        <f>IF(OR(L71="",J71=""),"",L71/J71)</f>
        <v/>
      </c>
    </row>
    <row r="72">
      <c r="F72" s="3" t="n"/>
      <c r="G72" s="3" t="n"/>
      <c r="H72" s="3" t="n"/>
      <c r="J72" s="3">
        <f>IF(OR(F72="",G72="",I72=""),"",ABS(F72-G72)*I72)</f>
        <v/>
      </c>
      <c r="K72" s="3" t="n"/>
      <c r="L72" s="3">
        <f>IF(OR(K72="",F72="",I72=""),"",((K72-F72)*I72))</f>
        <v/>
      </c>
      <c r="M72">
        <f>IF(OR(L72="",J72=""),"",L72/J72)</f>
        <v/>
      </c>
    </row>
    <row r="73">
      <c r="F73" s="3" t="n"/>
      <c r="G73" s="3" t="n"/>
      <c r="H73" s="3" t="n"/>
      <c r="J73" s="3">
        <f>IF(OR(F73="",G73="",I73=""),"",ABS(F73-G73)*I73)</f>
        <v/>
      </c>
      <c r="K73" s="3" t="n"/>
      <c r="L73" s="3">
        <f>IF(OR(K73="",F73="",I73=""),"",((K73-F73)*I73))</f>
        <v/>
      </c>
      <c r="M73">
        <f>IF(OR(L73="",J73=""),"",L73/J73)</f>
        <v/>
      </c>
    </row>
    <row r="74">
      <c r="F74" s="3" t="n"/>
      <c r="G74" s="3" t="n"/>
      <c r="H74" s="3" t="n"/>
      <c r="J74" s="3">
        <f>IF(OR(F74="",G74="",I74=""),"",ABS(F74-G74)*I74)</f>
        <v/>
      </c>
      <c r="K74" s="3" t="n"/>
      <c r="L74" s="3">
        <f>IF(OR(K74="",F74="",I74=""),"",((K74-F74)*I74))</f>
        <v/>
      </c>
      <c r="M74">
        <f>IF(OR(L74="",J74=""),"",L74/J74)</f>
        <v/>
      </c>
    </row>
    <row r="75">
      <c r="F75" s="3" t="n"/>
      <c r="G75" s="3" t="n"/>
      <c r="H75" s="3" t="n"/>
      <c r="J75" s="3">
        <f>IF(OR(F75="",G75="",I75=""),"",ABS(F75-G75)*I75)</f>
        <v/>
      </c>
      <c r="K75" s="3" t="n"/>
      <c r="L75" s="3">
        <f>IF(OR(K75="",F75="",I75=""),"",((K75-F75)*I75))</f>
        <v/>
      </c>
      <c r="M75">
        <f>IF(OR(L75="",J75=""),"",L75/J75)</f>
        <v/>
      </c>
    </row>
    <row r="76">
      <c r="F76" s="3" t="n"/>
      <c r="G76" s="3" t="n"/>
      <c r="H76" s="3" t="n"/>
      <c r="J76" s="3">
        <f>IF(OR(F76="",G76="",I76=""),"",ABS(F76-G76)*I76)</f>
        <v/>
      </c>
      <c r="K76" s="3" t="n"/>
      <c r="L76" s="3">
        <f>IF(OR(K76="",F76="",I76=""),"",((K76-F76)*I76))</f>
        <v/>
      </c>
      <c r="M76">
        <f>IF(OR(L76="",J76=""),"",L76/J76)</f>
        <v/>
      </c>
    </row>
    <row r="77">
      <c r="F77" s="3" t="n"/>
      <c r="G77" s="3" t="n"/>
      <c r="H77" s="3" t="n"/>
      <c r="J77" s="3">
        <f>IF(OR(F77="",G77="",I77=""),"",ABS(F77-G77)*I77)</f>
        <v/>
      </c>
      <c r="K77" s="3" t="n"/>
      <c r="L77" s="3">
        <f>IF(OR(K77="",F77="",I77=""),"",((K77-F77)*I77))</f>
        <v/>
      </c>
      <c r="M77">
        <f>IF(OR(L77="",J77=""),"",L77/J77)</f>
        <v/>
      </c>
    </row>
    <row r="78">
      <c r="F78" s="3" t="n"/>
      <c r="G78" s="3" t="n"/>
      <c r="H78" s="3" t="n"/>
      <c r="J78" s="3">
        <f>IF(OR(F78="",G78="",I78=""),"",ABS(F78-G78)*I78)</f>
        <v/>
      </c>
      <c r="K78" s="3" t="n"/>
      <c r="L78" s="3">
        <f>IF(OR(K78="",F78="",I78=""),"",((K78-F78)*I78))</f>
        <v/>
      </c>
      <c r="M78">
        <f>IF(OR(L78="",J78=""),"",L78/J78)</f>
        <v/>
      </c>
    </row>
    <row r="79">
      <c r="F79" s="3" t="n"/>
      <c r="G79" s="3" t="n"/>
      <c r="H79" s="3" t="n"/>
      <c r="J79" s="3">
        <f>IF(OR(F79="",G79="",I79=""),"",ABS(F79-G79)*I79)</f>
        <v/>
      </c>
      <c r="K79" s="3" t="n"/>
      <c r="L79" s="3">
        <f>IF(OR(K79="",F79="",I79=""),"",((K79-F79)*I79))</f>
        <v/>
      </c>
      <c r="M79">
        <f>IF(OR(L79="",J79=""),"",L79/J79)</f>
        <v/>
      </c>
    </row>
    <row r="80">
      <c r="F80" s="3" t="n"/>
      <c r="G80" s="3" t="n"/>
      <c r="H80" s="3" t="n"/>
      <c r="J80" s="3">
        <f>IF(OR(F80="",G80="",I80=""),"",ABS(F80-G80)*I80)</f>
        <v/>
      </c>
      <c r="K80" s="3" t="n"/>
      <c r="L80" s="3">
        <f>IF(OR(K80="",F80="",I80=""),"",((K80-F80)*I80))</f>
        <v/>
      </c>
      <c r="M80">
        <f>IF(OR(L80="",J80=""),"",L80/J80)</f>
        <v/>
      </c>
    </row>
    <row r="81">
      <c r="F81" s="3" t="n"/>
      <c r="G81" s="3" t="n"/>
      <c r="H81" s="3" t="n"/>
      <c r="J81" s="3">
        <f>IF(OR(F81="",G81="",I81=""),"",ABS(F81-G81)*I81)</f>
        <v/>
      </c>
      <c r="K81" s="3" t="n"/>
      <c r="L81" s="3">
        <f>IF(OR(K81="",F81="",I81=""),"",((K81-F81)*I81))</f>
        <v/>
      </c>
      <c r="M81">
        <f>IF(OR(L81="",J81=""),"",L81/J81)</f>
        <v/>
      </c>
    </row>
    <row r="82">
      <c r="F82" s="3" t="n"/>
      <c r="G82" s="3" t="n"/>
      <c r="H82" s="3" t="n"/>
      <c r="J82" s="3">
        <f>IF(OR(F82="",G82="",I82=""),"",ABS(F82-G82)*I82)</f>
        <v/>
      </c>
      <c r="K82" s="3" t="n"/>
      <c r="L82" s="3">
        <f>IF(OR(K82="",F82="",I82=""),"",((K82-F82)*I82))</f>
        <v/>
      </c>
      <c r="M82">
        <f>IF(OR(L82="",J82=""),"",L82/J82)</f>
        <v/>
      </c>
    </row>
    <row r="83">
      <c r="F83" s="3" t="n"/>
      <c r="G83" s="3" t="n"/>
      <c r="H83" s="3" t="n"/>
      <c r="J83" s="3">
        <f>IF(OR(F83="",G83="",I83=""),"",ABS(F83-G83)*I83)</f>
        <v/>
      </c>
      <c r="K83" s="3" t="n"/>
      <c r="L83" s="3">
        <f>IF(OR(K83="",F83="",I83=""),"",((K83-F83)*I83))</f>
        <v/>
      </c>
      <c r="M83">
        <f>IF(OR(L83="",J83=""),"",L83/J83)</f>
        <v/>
      </c>
    </row>
    <row r="84">
      <c r="F84" s="3" t="n"/>
      <c r="G84" s="3" t="n"/>
      <c r="H84" s="3" t="n"/>
      <c r="J84" s="3">
        <f>IF(OR(F84="",G84="",I84=""),"",ABS(F84-G84)*I84)</f>
        <v/>
      </c>
      <c r="K84" s="3" t="n"/>
      <c r="L84" s="3">
        <f>IF(OR(K84="",F84="",I84=""),"",((K84-F84)*I84))</f>
        <v/>
      </c>
      <c r="M84">
        <f>IF(OR(L84="",J84=""),"",L84/J84)</f>
        <v/>
      </c>
    </row>
    <row r="85">
      <c r="F85" s="3" t="n"/>
      <c r="G85" s="3" t="n"/>
      <c r="H85" s="3" t="n"/>
      <c r="J85" s="3">
        <f>IF(OR(F85="",G85="",I85=""),"",ABS(F85-G85)*I85)</f>
        <v/>
      </c>
      <c r="K85" s="3" t="n"/>
      <c r="L85" s="3">
        <f>IF(OR(K85="",F85="",I85=""),"",((K85-F85)*I85))</f>
        <v/>
      </c>
      <c r="M85">
        <f>IF(OR(L85="",J85=""),"",L85/J85)</f>
        <v/>
      </c>
    </row>
    <row r="86">
      <c r="F86" s="3" t="n"/>
      <c r="G86" s="3" t="n"/>
      <c r="H86" s="3" t="n"/>
      <c r="J86" s="3">
        <f>IF(OR(F86="",G86="",I86=""),"",ABS(F86-G86)*I86)</f>
        <v/>
      </c>
      <c r="K86" s="3" t="n"/>
      <c r="L86" s="3">
        <f>IF(OR(K86="",F86="",I86=""),"",((K86-F86)*I86))</f>
        <v/>
      </c>
      <c r="M86">
        <f>IF(OR(L86="",J86=""),"",L86/J86)</f>
        <v/>
      </c>
    </row>
    <row r="87">
      <c r="F87" s="3" t="n"/>
      <c r="G87" s="3" t="n"/>
      <c r="H87" s="3" t="n"/>
      <c r="J87" s="3">
        <f>IF(OR(F87="",G87="",I87=""),"",ABS(F87-G87)*I87)</f>
        <v/>
      </c>
      <c r="K87" s="3" t="n"/>
      <c r="L87" s="3">
        <f>IF(OR(K87="",F87="",I87=""),"",((K87-F87)*I87))</f>
        <v/>
      </c>
      <c r="M87">
        <f>IF(OR(L87="",J87=""),"",L87/J87)</f>
        <v/>
      </c>
    </row>
    <row r="88">
      <c r="F88" s="3" t="n"/>
      <c r="G88" s="3" t="n"/>
      <c r="H88" s="3" t="n"/>
      <c r="J88" s="3">
        <f>IF(OR(F88="",G88="",I88=""),"",ABS(F88-G88)*I88)</f>
        <v/>
      </c>
      <c r="K88" s="3" t="n"/>
      <c r="L88" s="3">
        <f>IF(OR(K88="",F88="",I88=""),"",((K88-F88)*I88))</f>
        <v/>
      </c>
      <c r="M88">
        <f>IF(OR(L88="",J88=""),"",L88/J88)</f>
        <v/>
      </c>
    </row>
    <row r="89">
      <c r="F89" s="3" t="n"/>
      <c r="G89" s="3" t="n"/>
      <c r="H89" s="3" t="n"/>
      <c r="J89" s="3">
        <f>IF(OR(F89="",G89="",I89=""),"",ABS(F89-G89)*I89)</f>
        <v/>
      </c>
      <c r="K89" s="3" t="n"/>
      <c r="L89" s="3">
        <f>IF(OR(K89="",F89="",I89=""),"",((K89-F89)*I89))</f>
        <v/>
      </c>
      <c r="M89">
        <f>IF(OR(L89="",J89=""),"",L89/J89)</f>
        <v/>
      </c>
    </row>
    <row r="90">
      <c r="F90" s="3" t="n"/>
      <c r="G90" s="3" t="n"/>
      <c r="H90" s="3" t="n"/>
      <c r="J90" s="3">
        <f>IF(OR(F90="",G90="",I90=""),"",ABS(F90-G90)*I90)</f>
        <v/>
      </c>
      <c r="K90" s="3" t="n"/>
      <c r="L90" s="3">
        <f>IF(OR(K90="",F90="",I90=""),"",((K90-F90)*I90))</f>
        <v/>
      </c>
      <c r="M90">
        <f>IF(OR(L90="",J90=""),"",L90/J90)</f>
        <v/>
      </c>
    </row>
    <row r="91">
      <c r="F91" s="3" t="n"/>
      <c r="G91" s="3" t="n"/>
      <c r="H91" s="3" t="n"/>
      <c r="J91" s="3">
        <f>IF(OR(F91="",G91="",I91=""),"",ABS(F91-G91)*I91)</f>
        <v/>
      </c>
      <c r="K91" s="3" t="n"/>
      <c r="L91" s="3">
        <f>IF(OR(K91="",F91="",I91=""),"",((K91-F91)*I91))</f>
        <v/>
      </c>
      <c r="M91">
        <f>IF(OR(L91="",J91=""),"",L91/J91)</f>
        <v/>
      </c>
    </row>
    <row r="92">
      <c r="F92" s="3" t="n"/>
      <c r="G92" s="3" t="n"/>
      <c r="H92" s="3" t="n"/>
      <c r="J92" s="3">
        <f>IF(OR(F92="",G92="",I92=""),"",ABS(F92-G92)*I92)</f>
        <v/>
      </c>
      <c r="K92" s="3" t="n"/>
      <c r="L92" s="3">
        <f>IF(OR(K92="",F92="",I92=""),"",((K92-F92)*I92))</f>
        <v/>
      </c>
      <c r="M92">
        <f>IF(OR(L92="",J92=""),"",L92/J92)</f>
        <v/>
      </c>
    </row>
    <row r="93">
      <c r="F93" s="3" t="n"/>
      <c r="G93" s="3" t="n"/>
      <c r="H93" s="3" t="n"/>
      <c r="J93" s="3">
        <f>IF(OR(F93="",G93="",I93=""),"",ABS(F93-G93)*I93)</f>
        <v/>
      </c>
      <c r="K93" s="3" t="n"/>
      <c r="L93" s="3">
        <f>IF(OR(K93="",F93="",I93=""),"",((K93-F93)*I93))</f>
        <v/>
      </c>
      <c r="M93">
        <f>IF(OR(L93="",J93=""),"",L93/J93)</f>
        <v/>
      </c>
    </row>
    <row r="94">
      <c r="F94" s="3" t="n"/>
      <c r="G94" s="3" t="n"/>
      <c r="H94" s="3" t="n"/>
      <c r="J94" s="3">
        <f>IF(OR(F94="",G94="",I94=""),"",ABS(F94-G94)*I94)</f>
        <v/>
      </c>
      <c r="K94" s="3" t="n"/>
      <c r="L94" s="3">
        <f>IF(OR(K94="",F94="",I94=""),"",((K94-F94)*I94))</f>
        <v/>
      </c>
      <c r="M94">
        <f>IF(OR(L94="",J94=""),"",L94/J94)</f>
        <v/>
      </c>
    </row>
    <row r="95">
      <c r="F95" s="3" t="n"/>
      <c r="G95" s="3" t="n"/>
      <c r="H95" s="3" t="n"/>
      <c r="J95" s="3">
        <f>IF(OR(F95="",G95="",I95=""),"",ABS(F95-G95)*I95)</f>
        <v/>
      </c>
      <c r="K95" s="3" t="n"/>
      <c r="L95" s="3">
        <f>IF(OR(K95="",F95="",I95=""),"",((K95-F95)*I95))</f>
        <v/>
      </c>
      <c r="M95">
        <f>IF(OR(L95="",J95=""),"",L95/J95)</f>
        <v/>
      </c>
    </row>
    <row r="96">
      <c r="F96" s="3" t="n"/>
      <c r="G96" s="3" t="n"/>
      <c r="H96" s="3" t="n"/>
      <c r="J96" s="3">
        <f>IF(OR(F96="",G96="",I96=""),"",ABS(F96-G96)*I96)</f>
        <v/>
      </c>
      <c r="K96" s="3" t="n"/>
      <c r="L96" s="3">
        <f>IF(OR(K96="",F96="",I96=""),"",((K96-F96)*I96))</f>
        <v/>
      </c>
      <c r="M96">
        <f>IF(OR(L96="",J96=""),"",L96/J96)</f>
        <v/>
      </c>
    </row>
    <row r="97">
      <c r="F97" s="3" t="n"/>
      <c r="G97" s="3" t="n"/>
      <c r="H97" s="3" t="n"/>
      <c r="J97" s="3">
        <f>IF(OR(F97="",G97="",I97=""),"",ABS(F97-G97)*I97)</f>
        <v/>
      </c>
      <c r="K97" s="3" t="n"/>
      <c r="L97" s="3">
        <f>IF(OR(K97="",F97="",I97=""),"",((K97-F97)*I97))</f>
        <v/>
      </c>
      <c r="M97">
        <f>IF(OR(L97="",J97=""),"",L97/J97)</f>
        <v/>
      </c>
    </row>
    <row r="98">
      <c r="F98" s="3" t="n"/>
      <c r="G98" s="3" t="n"/>
      <c r="H98" s="3" t="n"/>
      <c r="J98" s="3">
        <f>IF(OR(F98="",G98="",I98=""),"",ABS(F98-G98)*I98)</f>
        <v/>
      </c>
      <c r="K98" s="3" t="n"/>
      <c r="L98" s="3">
        <f>IF(OR(K98="",F98="",I98=""),"",((K98-F98)*I98))</f>
        <v/>
      </c>
      <c r="M98">
        <f>IF(OR(L98="",J98=""),"",L98/J98)</f>
        <v/>
      </c>
    </row>
    <row r="99">
      <c r="F99" s="3" t="n"/>
      <c r="G99" s="3" t="n"/>
      <c r="H99" s="3" t="n"/>
      <c r="J99" s="3">
        <f>IF(OR(F99="",G99="",I99=""),"",ABS(F99-G99)*I99)</f>
        <v/>
      </c>
      <c r="K99" s="3" t="n"/>
      <c r="L99" s="3">
        <f>IF(OR(K99="",F99="",I99=""),"",((K99-F99)*I99))</f>
        <v/>
      </c>
      <c r="M99">
        <f>IF(OR(L99="",J99=""),"",L99/J99)</f>
        <v/>
      </c>
    </row>
    <row r="100">
      <c r="F100" s="3" t="n"/>
      <c r="G100" s="3" t="n"/>
      <c r="H100" s="3" t="n"/>
      <c r="J100" s="3">
        <f>IF(OR(F100="",G100="",I100=""),"",ABS(F100-G100)*I100)</f>
        <v/>
      </c>
      <c r="K100" s="3" t="n"/>
      <c r="L100" s="3">
        <f>IF(OR(K100="",F100="",I100=""),"",((K100-F100)*I100))</f>
        <v/>
      </c>
      <c r="M100">
        <f>IF(OR(L100="",J100=""),"",L100/J100)</f>
        <v/>
      </c>
    </row>
    <row r="101">
      <c r="F101" s="3" t="n"/>
      <c r="G101" s="3" t="n"/>
      <c r="H101" s="3" t="n"/>
      <c r="J101" s="3">
        <f>IF(OR(F101="",G101="",I101=""),"",ABS(F101-G101)*I101)</f>
        <v/>
      </c>
      <c r="K101" s="3" t="n"/>
      <c r="L101" s="3">
        <f>IF(OR(K101="",F101="",I101=""),"",((K101-F101)*I101))</f>
        <v/>
      </c>
      <c r="M101">
        <f>IF(OR(L101="",J101=""),"",L101/J101)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4" t="inlineStr">
        <is>
          <t>Date</t>
        </is>
      </c>
      <c r="B1" s="4" t="inlineStr">
        <is>
          <t>Daily P/L</t>
        </is>
      </c>
      <c r="C1" s="4" t="inlineStr">
        <is>
          <t>Equity</t>
        </is>
      </c>
    </row>
    <row r="2">
      <c r="B2" s="3" t="n"/>
      <c r="C2" s="3">
        <f>IF(B2="","",100000+SUM($B$2:B2))</f>
        <v/>
      </c>
    </row>
    <row r="3">
      <c r="B3" s="3" t="n"/>
      <c r="C3" s="3">
        <f>IF(B3="","",100000+SUM($B$2:B3))</f>
        <v/>
      </c>
    </row>
    <row r="4">
      <c r="B4" s="3" t="n"/>
      <c r="C4" s="3">
        <f>IF(B4="","",100000+SUM($B$2:B4))</f>
        <v/>
      </c>
    </row>
    <row r="5">
      <c r="B5" s="3" t="n"/>
      <c r="C5" s="3">
        <f>IF(B5="","",100000+SUM($B$2:B5))</f>
        <v/>
      </c>
    </row>
    <row r="6">
      <c r="B6" s="3" t="n"/>
      <c r="C6" s="3">
        <f>IF(B6="","",100000+SUM($B$2:B6))</f>
        <v/>
      </c>
    </row>
    <row r="7">
      <c r="B7" s="3" t="n"/>
      <c r="C7" s="3">
        <f>IF(B7="","",100000+SUM($B$2:B7))</f>
        <v/>
      </c>
    </row>
    <row r="8">
      <c r="B8" s="3" t="n"/>
      <c r="C8" s="3">
        <f>IF(B8="","",100000+SUM($B$2:B8))</f>
        <v/>
      </c>
    </row>
    <row r="9">
      <c r="B9" s="3" t="n"/>
      <c r="C9" s="3">
        <f>IF(B9="","",100000+SUM($B$2:B9))</f>
        <v/>
      </c>
    </row>
    <row r="10">
      <c r="B10" s="3" t="n"/>
      <c r="C10" s="3">
        <f>IF(B10="","",100000+SUM($B$2:B10))</f>
        <v/>
      </c>
    </row>
    <row r="11">
      <c r="B11" s="3" t="n"/>
      <c r="C11" s="3">
        <f>IF(B11="","",100000+SUM($B$2:B11))</f>
        <v/>
      </c>
    </row>
    <row r="12">
      <c r="B12" s="3" t="n"/>
      <c r="C12" s="3">
        <f>IF(B12="","",100000+SUM($B$2:B12))</f>
        <v/>
      </c>
    </row>
    <row r="13">
      <c r="B13" s="3" t="n"/>
      <c r="C13" s="3">
        <f>IF(B13="","",100000+SUM($B$2:B13))</f>
        <v/>
      </c>
    </row>
    <row r="14">
      <c r="B14" s="3" t="n"/>
      <c r="C14" s="3">
        <f>IF(B14="","",100000+SUM($B$2:B14))</f>
        <v/>
      </c>
    </row>
    <row r="15">
      <c r="B15" s="3" t="n"/>
      <c r="C15" s="3">
        <f>IF(B15="","",100000+SUM($B$2:B15))</f>
        <v/>
      </c>
    </row>
    <row r="16">
      <c r="B16" s="3" t="n"/>
      <c r="C16" s="3">
        <f>IF(B16="","",100000+SUM($B$2:B16))</f>
        <v/>
      </c>
    </row>
    <row r="17">
      <c r="B17" s="3" t="n"/>
      <c r="C17" s="3">
        <f>IF(B17="","",100000+SUM($B$2:B17))</f>
        <v/>
      </c>
    </row>
    <row r="18">
      <c r="B18" s="3" t="n"/>
      <c r="C18" s="3">
        <f>IF(B18="","",100000+SUM($B$2:B18))</f>
        <v/>
      </c>
    </row>
    <row r="19">
      <c r="B19" s="3" t="n"/>
      <c r="C19" s="3">
        <f>IF(B19="","",100000+SUM($B$2:B19))</f>
        <v/>
      </c>
    </row>
    <row r="20">
      <c r="B20" s="3" t="n"/>
      <c r="C20" s="3">
        <f>IF(B20="","",100000+SUM($B$2:B20))</f>
        <v/>
      </c>
    </row>
    <row r="21">
      <c r="B21" s="3" t="n"/>
      <c r="C21" s="3">
        <f>IF(B21="","",100000+SUM($B$2:B21))</f>
        <v/>
      </c>
    </row>
    <row r="22">
      <c r="B22" s="3" t="n"/>
      <c r="C22" s="3">
        <f>IF(B22="","",100000+SUM($B$2:B22))</f>
        <v/>
      </c>
    </row>
    <row r="23">
      <c r="B23" s="3" t="n"/>
      <c r="C23" s="3">
        <f>IF(B23="","",100000+SUM($B$2:B23))</f>
        <v/>
      </c>
    </row>
    <row r="24">
      <c r="B24" s="3" t="n"/>
      <c r="C24" s="3">
        <f>IF(B24="","",100000+SUM($B$2:B24))</f>
        <v/>
      </c>
    </row>
    <row r="25">
      <c r="B25" s="3" t="n"/>
      <c r="C25" s="3">
        <f>IF(B25="","",100000+SUM($B$2:B25))</f>
        <v/>
      </c>
    </row>
    <row r="26">
      <c r="B26" s="3" t="n"/>
      <c r="C26" s="3">
        <f>IF(B26="","",100000+SUM($B$2:B26))</f>
        <v/>
      </c>
    </row>
    <row r="27">
      <c r="B27" s="3" t="n"/>
      <c r="C27" s="3">
        <f>IF(B27="","",100000+SUM($B$2:B27))</f>
        <v/>
      </c>
    </row>
    <row r="28">
      <c r="B28" s="3" t="n"/>
      <c r="C28" s="3">
        <f>IF(B28="","",100000+SUM($B$2:B28))</f>
        <v/>
      </c>
    </row>
    <row r="29">
      <c r="B29" s="3" t="n"/>
      <c r="C29" s="3">
        <f>IF(B29="","",100000+SUM($B$2:B29))</f>
        <v/>
      </c>
    </row>
    <row r="30">
      <c r="B30" s="3" t="n"/>
      <c r="C30" s="3">
        <f>IF(B30="","",100000+SUM($B$2:B30))</f>
        <v/>
      </c>
    </row>
    <row r="31">
      <c r="B31" s="3" t="n"/>
      <c r="C31" s="3">
        <f>IF(B31="","",100000+SUM($B$2:B31))</f>
        <v/>
      </c>
    </row>
    <row r="32">
      <c r="B32" s="3" t="n"/>
      <c r="C32" s="3">
        <f>IF(B32="","",100000+SUM($B$2:B32))</f>
        <v/>
      </c>
    </row>
    <row r="33">
      <c r="B33" s="3" t="n"/>
      <c r="C33" s="3">
        <f>IF(B33="","",100000+SUM($B$2:B33))</f>
        <v/>
      </c>
    </row>
    <row r="34">
      <c r="B34" s="3" t="n"/>
      <c r="C34" s="3">
        <f>IF(B34="","",100000+SUM($B$2:B34))</f>
        <v/>
      </c>
    </row>
    <row r="35">
      <c r="B35" s="3" t="n"/>
      <c r="C35" s="3">
        <f>IF(B35="","",100000+SUM($B$2:B35))</f>
        <v/>
      </c>
    </row>
    <row r="36">
      <c r="B36" s="3" t="n"/>
      <c r="C36" s="3">
        <f>IF(B36="","",100000+SUM($B$2:B36))</f>
        <v/>
      </c>
    </row>
    <row r="37">
      <c r="B37" s="3" t="n"/>
      <c r="C37" s="3">
        <f>IF(B37="","",100000+SUM($B$2:B37))</f>
        <v/>
      </c>
    </row>
    <row r="38">
      <c r="B38" s="3" t="n"/>
      <c r="C38" s="3">
        <f>IF(B38="","",100000+SUM($B$2:B38))</f>
        <v/>
      </c>
    </row>
    <row r="39">
      <c r="B39" s="3" t="n"/>
      <c r="C39" s="3">
        <f>IF(B39="","",100000+SUM($B$2:B39))</f>
        <v/>
      </c>
    </row>
    <row r="40">
      <c r="B40" s="3" t="n"/>
      <c r="C40" s="3">
        <f>IF(B40="","",100000+SUM($B$2:B40))</f>
        <v/>
      </c>
    </row>
    <row r="41">
      <c r="B41" s="3" t="n"/>
      <c r="C41" s="3">
        <f>IF(B41="","",100000+SUM($B$2:B41))</f>
        <v/>
      </c>
    </row>
    <row r="42">
      <c r="B42" s="3" t="n"/>
      <c r="C42" s="3">
        <f>IF(B42="","",100000+SUM($B$2:B42))</f>
        <v/>
      </c>
    </row>
    <row r="43">
      <c r="B43" s="3" t="n"/>
      <c r="C43" s="3">
        <f>IF(B43="","",100000+SUM($B$2:B43))</f>
        <v/>
      </c>
    </row>
    <row r="44">
      <c r="B44" s="3" t="n"/>
      <c r="C44" s="3">
        <f>IF(B44="","",100000+SUM($B$2:B44))</f>
        <v/>
      </c>
    </row>
    <row r="45">
      <c r="B45" s="3" t="n"/>
      <c r="C45" s="3">
        <f>IF(B45="","",100000+SUM($B$2:B45))</f>
        <v/>
      </c>
    </row>
    <row r="46">
      <c r="B46" s="3" t="n"/>
      <c r="C46" s="3">
        <f>IF(B46="","",100000+SUM($B$2:B46))</f>
        <v/>
      </c>
    </row>
    <row r="47">
      <c r="B47" s="3" t="n"/>
      <c r="C47" s="3">
        <f>IF(B47="","",100000+SUM($B$2:B47))</f>
        <v/>
      </c>
    </row>
    <row r="48">
      <c r="B48" s="3" t="n"/>
      <c r="C48" s="3">
        <f>IF(B48="","",100000+SUM($B$2:B48))</f>
        <v/>
      </c>
    </row>
    <row r="49">
      <c r="B49" s="3" t="n"/>
      <c r="C49" s="3">
        <f>IF(B49="","",100000+SUM($B$2:B49))</f>
        <v/>
      </c>
    </row>
    <row r="50">
      <c r="B50" s="3" t="n"/>
      <c r="C50" s="3">
        <f>IF(B50="","",100000+SUM($B$2:B50))</f>
        <v/>
      </c>
    </row>
    <row r="51">
      <c r="B51" s="3" t="n"/>
      <c r="C51" s="3">
        <f>IF(B51="","",100000+SUM($B$2:B51))</f>
        <v/>
      </c>
    </row>
    <row r="52">
      <c r="B52" s="3" t="n"/>
      <c r="C52" s="3">
        <f>IF(B52="","",100000+SUM($B$2:B52))</f>
        <v/>
      </c>
    </row>
    <row r="53">
      <c r="B53" s="3" t="n"/>
      <c r="C53" s="3">
        <f>IF(B53="","",100000+SUM($B$2:B53))</f>
        <v/>
      </c>
    </row>
    <row r="54">
      <c r="B54" s="3" t="n"/>
      <c r="C54" s="3">
        <f>IF(B54="","",100000+SUM($B$2:B54))</f>
        <v/>
      </c>
    </row>
    <row r="55">
      <c r="B55" s="3" t="n"/>
      <c r="C55" s="3">
        <f>IF(B55="","",100000+SUM($B$2:B55))</f>
        <v/>
      </c>
    </row>
    <row r="56">
      <c r="B56" s="3" t="n"/>
      <c r="C56" s="3">
        <f>IF(B56="","",100000+SUM($B$2:B56))</f>
        <v/>
      </c>
    </row>
    <row r="57">
      <c r="B57" s="3" t="n"/>
      <c r="C57" s="3">
        <f>IF(B57="","",100000+SUM($B$2:B57))</f>
        <v/>
      </c>
    </row>
    <row r="58">
      <c r="B58" s="3" t="n"/>
      <c r="C58" s="3">
        <f>IF(B58="","",100000+SUM($B$2:B58))</f>
        <v/>
      </c>
    </row>
    <row r="59">
      <c r="B59" s="3" t="n"/>
      <c r="C59" s="3">
        <f>IF(B59="","",100000+SUM($B$2:B59))</f>
        <v/>
      </c>
    </row>
    <row r="60">
      <c r="B60" s="3" t="n"/>
      <c r="C60" s="3">
        <f>IF(B60="","",100000+SUM($B$2:B60))</f>
        <v/>
      </c>
    </row>
    <row r="61">
      <c r="B61" s="3" t="n"/>
      <c r="C61" s="3">
        <f>IF(B61="","",100000+SUM($B$2:B61))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4" t="inlineStr">
        <is>
          <t>Starting capital</t>
        </is>
      </c>
      <c r="B1" t="n">
        <v>100000</v>
      </c>
    </row>
    <row r="2">
      <c r="A2" t="inlineStr">
        <is>
          <t>Max risk per trade</t>
        </is>
      </c>
      <c r="B2" t="n">
        <v>0.005</v>
      </c>
    </row>
    <row r="3">
      <c r="A3" t="inlineStr">
        <is>
          <t>Max daily loss</t>
        </is>
      </c>
      <c r="B3" t="n">
        <v>0.015</v>
      </c>
    </row>
    <row r="4">
      <c r="A4" t="inlineStr">
        <is>
          <t>Max portfolio risk</t>
        </is>
      </c>
      <c r="B4" t="n">
        <v>0.05</v>
      </c>
    </row>
    <row r="5">
      <c r="A5" t="inlineStr">
        <is>
          <t>Day timeframes</t>
        </is>
      </c>
      <c r="B5" t="inlineStr">
        <is>
          <t>5m,15m,1h</t>
        </is>
      </c>
    </row>
    <row r="6">
      <c r="A6" t="inlineStr">
        <is>
          <t>Swing timeframes</t>
        </is>
      </c>
      <c r="B6" t="inlineStr">
        <is>
          <t>1h,4h,1D</t>
        </is>
      </c>
    </row>
    <row r="7">
      <c r="A7" t="inlineStr">
        <is>
          <t>Crypto risk multiplier</t>
        </is>
      </c>
      <c r="B7" t="n">
        <v>0.75</v>
      </c>
    </row>
    <row r="8">
      <c r="A8" t="inlineStr">
        <is>
          <t>Stock/ETF provider</t>
        </is>
      </c>
      <c r="B8" t="inlineStr">
        <is>
          <t>Alpha Vantage</t>
        </is>
      </c>
    </row>
    <row r="9">
      <c r="A9" t="inlineStr">
        <is>
          <t>Crypto provider</t>
        </is>
      </c>
      <c r="B9" t="inlineStr">
        <is>
          <t>CoinGecko</t>
        </is>
      </c>
    </row>
    <row r="10">
      <c r="A10" t="inlineStr">
        <is>
          <t>Paper trading only</t>
        </is>
      </c>
      <c r="B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2026-08-13T02:29:45Z</dcterms:created>
  <dcterms:modified xsi:type="dcterms:W3CDTF">2026-10-16T12:00:23Z</dcterms:modified>
</cp:coreProperties>
</file>