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2026-08-15 16:54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305.93</v>
      </c>
      <c r="E17" t="n">
        <v>0.2194850291554751</v>
      </c>
      <c r="F17" t="n">
        <v>25.98449612403094</v>
      </c>
      <c r="G17" t="n">
        <v>318.4285</v>
      </c>
      <c r="H17" t="n">
        <v>309.1908</v>
      </c>
      <c r="I17" t="n">
        <v>0.5191483668907518</v>
      </c>
      <c r="J17" t="inlineStr">
        <is>
          <t>Trend/Momentum</t>
        </is>
      </c>
      <c r="K17" t="n">
        <v>30</v>
      </c>
      <c r="L17" t="inlineStr">
        <is>
          <t>AVOID</t>
        </is>
      </c>
      <c r="M17" t="inlineStr">
        <is>
          <t>2026-08-15 16:54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63036</v>
      </c>
      <c r="E18" t="n">
        <v>0.7</v>
      </c>
      <c r="F18" t="inlineStr"/>
      <c r="G18" t="inlineStr"/>
      <c r="H18" t="inlineStr"/>
      <c r="I18" t="n">
        <v>12246658226</v>
      </c>
      <c r="J18" t="inlineStr">
        <is>
          <t>Momentum</t>
        </is>
      </c>
      <c r="K18" t="n">
        <v>51.4</v>
      </c>
      <c r="L18" t="inlineStr">
        <is>
          <t>WATCH</t>
        </is>
      </c>
      <c r="M18" t="inlineStr">
        <is>
          <t>2026-08-15 16:54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1882.79</v>
      </c>
      <c r="E19" t="n">
        <v>1</v>
      </c>
      <c r="F19" t="inlineStr"/>
      <c r="G19" t="inlineStr"/>
      <c r="H19" t="inlineStr"/>
      <c r="I19" t="n">
        <v>3282158642</v>
      </c>
      <c r="J19" t="inlineStr">
        <is>
          <t>Momentum</t>
        </is>
      </c>
      <c r="K19" t="n">
        <v>52</v>
      </c>
      <c r="L19" t="inlineStr">
        <is>
          <t>WATCH</t>
        </is>
      </c>
      <c r="M19" t="inlineStr">
        <is>
          <t>2026-08-15 16:54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75.41</v>
      </c>
      <c r="E20" t="n">
        <v>0.3</v>
      </c>
      <c r="F20" t="inlineStr"/>
      <c r="G20" t="inlineStr"/>
      <c r="H20" t="inlineStr"/>
      <c r="I20" t="n">
        <v>824436551</v>
      </c>
      <c r="J20" t="inlineStr">
        <is>
          <t>Momentum</t>
        </is>
      </c>
      <c r="K20" t="n">
        <v>50.6</v>
      </c>
      <c r="L20" t="inlineStr">
        <is>
          <t>WATCH</t>
        </is>
      </c>
      <c r="M20" t="inlineStr">
        <is>
          <t>2026-08-15 16:54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75.09</v>
      </c>
      <c r="E21" t="n">
        <v>-0.4</v>
      </c>
      <c r="I21" t="n">
        <v>1020904960</v>
      </c>
      <c r="J21" t="inlineStr">
        <is>
          <t>Momentum</t>
        </is>
      </c>
      <c r="K21" t="n">
        <v>49.2</v>
      </c>
      <c r="L21" t="inlineStr">
        <is>
          <t>AVOID</t>
        </is>
      </c>
      <c r="M21" t="inlineStr">
        <is>
          <t>2026-08-14 18:13 UTC</t>
        </is>
      </c>
    </row>
    <row r="22">
      <c r="A22" t="inlineStr">
        <is>
          <t>IWM</t>
        </is>
      </c>
      <c r="B22" t="inlineStr">
        <is>
          <t>ETF</t>
        </is>
      </c>
      <c r="C22" t="inlineStr">
        <is>
          <t>Swing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Swing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Swing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305.93</v>
      </c>
      <c r="F2" t="n">
        <v>0.2194850291554751</v>
      </c>
      <c r="G2" t="n">
        <v>25.98449612403094</v>
      </c>
      <c r="H2" t="n">
        <v>318.4285</v>
      </c>
      <c r="I2" t="n">
        <v>309.1908</v>
      </c>
      <c r="J2" t="inlineStr"/>
      <c r="K2" t="n">
        <v>0.5191483668907518</v>
      </c>
      <c r="L2" t="inlineStr">
        <is>
          <t>Trend/Momentum</t>
        </is>
      </c>
      <c r="M2" t="inlineStr">
        <is>
          <t>LONG</t>
        </is>
      </c>
      <c r="N2" t="n">
        <v>305.93</v>
      </c>
      <c r="O2" t="n">
        <v>299.8114</v>
      </c>
      <c r="P2" t="n">
        <v>318.1672</v>
      </c>
      <c r="Q2" s="5" t="n">
        <v>1.2</v>
      </c>
      <c r="R2" t="n">
        <v>30</v>
      </c>
      <c r="S2" t="n">
        <v>30</v>
      </c>
      <c r="T2" t="inlineStr">
        <is>
          <t>AVOID</t>
        </is>
      </c>
      <c r="U2" t="inlineStr">
        <is>
          <t>SMA20 above SMA50; positive momentum</t>
        </is>
      </c>
      <c r="V2" t="inlineStr">
        <is>
          <t>2026-08-15 16:54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63036</v>
      </c>
      <c r="F3" t="n">
        <v>0.7</v>
      </c>
      <c r="G3" t="inlineStr"/>
      <c r="H3" t="inlineStr"/>
      <c r="I3" t="inlineStr"/>
      <c r="J3" t="inlineStr"/>
      <c r="K3" t="n">
        <v>12246658226</v>
      </c>
      <c r="L3" t="inlineStr">
        <is>
          <t>Momentum</t>
        </is>
      </c>
      <c r="M3" t="inlineStr">
        <is>
          <t>LONG</t>
        </is>
      </c>
      <c r="N3" t="n">
        <v>63036</v>
      </c>
      <c r="O3" t="n">
        <v>59884.2</v>
      </c>
      <c r="P3" t="n">
        <v>69339.60000000001</v>
      </c>
      <c r="Q3" s="5" t="n">
        <v>2</v>
      </c>
      <c r="R3" t="n">
        <v>51.4</v>
      </c>
      <c r="S3" t="n">
        <v>51.4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2026-08-15 16:54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1882.79</v>
      </c>
      <c r="F4" t="n">
        <v>1</v>
      </c>
      <c r="G4" t="inlineStr"/>
      <c r="H4" t="inlineStr"/>
      <c r="I4" t="inlineStr"/>
      <c r="J4" t="inlineStr"/>
      <c r="K4" t="n">
        <v>3282158642</v>
      </c>
      <c r="L4" t="inlineStr">
        <is>
          <t>Momentum</t>
        </is>
      </c>
      <c r="M4" t="inlineStr">
        <is>
          <t>LONG</t>
        </is>
      </c>
      <c r="N4" t="n">
        <v>1882.79</v>
      </c>
      <c r="O4" t="n">
        <v>1788.6505</v>
      </c>
      <c r="P4" t="n">
        <v>2071.069</v>
      </c>
      <c r="Q4" s="5" t="n">
        <v>2</v>
      </c>
      <c r="R4" t="n">
        <v>52</v>
      </c>
      <c r="S4" t="n">
        <v>52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2026-08-15 16:54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75.41</v>
      </c>
      <c r="F5" t="n">
        <v>0.3</v>
      </c>
      <c r="G5" t="inlineStr"/>
      <c r="H5" t="inlineStr"/>
      <c r="I5" t="inlineStr"/>
      <c r="J5" t="inlineStr"/>
      <c r="K5" t="n">
        <v>824436551</v>
      </c>
      <c r="L5" t="inlineStr">
        <is>
          <t>Momentum</t>
        </is>
      </c>
      <c r="M5" t="inlineStr">
        <is>
          <t>LONG</t>
        </is>
      </c>
      <c r="N5" t="n">
        <v>75.41</v>
      </c>
      <c r="O5" t="n">
        <v>71.6395</v>
      </c>
      <c r="P5" t="n">
        <v>82.95100000000001</v>
      </c>
      <c r="Q5" s="5" t="n">
        <v>2</v>
      </c>
      <c r="R5" t="n">
        <v>50.6</v>
      </c>
      <c r="S5" t="n">
        <v>50.6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2026-08-15 16:54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75.09</v>
      </c>
      <c r="F6" t="n">
        <v>-0.4</v>
      </c>
      <c r="K6" t="n">
        <v>1020904960</v>
      </c>
      <c r="L6" t="inlineStr">
        <is>
          <t>Momentum</t>
        </is>
      </c>
      <c r="M6" t="inlineStr">
        <is>
          <t>LONG</t>
        </is>
      </c>
      <c r="N6" t="n">
        <v>75.09</v>
      </c>
      <c r="O6" t="n">
        <v>71.3355</v>
      </c>
      <c r="P6" t="n">
        <v>82.599</v>
      </c>
      <c r="Q6" s="5" t="n">
        <v>2</v>
      </c>
      <c r="R6" t="n">
        <v>49.2</v>
      </c>
      <c r="S6" t="n">
        <v>49.2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2026-08-14 18:13 UTC</t>
        </is>
      </c>
    </row>
    <row r="7">
      <c r="Q7" s="5">
        <f>IF(OR(N7="",O7="",P7=""),"",ABS(P7-N7)/ABS(N7-O7))</f>
        <v/>
      </c>
    </row>
    <row r="8">
      <c r="Q8" s="5">
        <f>IF(OR(N8="",O8="",P8=""),"",ABS(P8-N8)/ABS(N8-O8))</f>
        <v/>
      </c>
    </row>
    <row r="9">
      <c r="Q9" s="5">
        <f>IF(OR(N9="",O9="",P9=""),"",ABS(P9-N9)/ABS(N9-O9))</f>
        <v/>
      </c>
    </row>
    <row r="10">
      <c r="Q10" s="5">
        <f>IF(OR(N10="",O10="",P10=""),"",ABS(P10-N10)/ABS(N10-O10))</f>
        <v/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2026-08-15T16:54:44Z</dcterms:modified>
</cp:coreProperties>
</file>